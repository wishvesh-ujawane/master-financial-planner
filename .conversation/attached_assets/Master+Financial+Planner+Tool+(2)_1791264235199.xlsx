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nce\OnePercentClub\"/>
    </mc:Choice>
  </mc:AlternateContent>
  <xr:revisionPtr revIDLastSave="0" documentId="13_ncr:1_{C9414471-48BC-490B-AAF3-DE42FD26C597}" xr6:coauthVersionLast="47" xr6:coauthVersionMax="47" xr10:uidLastSave="{00000000-0000-0000-0000-000000000000}"/>
  <workbookProtection workbookAlgorithmName="SHA-512" workbookHashValue="/mfltb6QUA9wAA8MDBpXKh4ILsdjV7Wm8JttoafMhNwaKe7WsOC3+ldS1XUc+kuzmAs3ecMd7JtVBu+6euDYAQ==" workbookSaltValue="cp5qxGG4CL1bezzNKlzBlg==" workbookSpinCount="100000" lockStructure="1"/>
  <bookViews>
    <workbookView xWindow="-28920" yWindow="-120" windowWidth="29040" windowHeight="16440" firstSheet="1" activeTab="2" xr2:uid="{9FF800ED-B542-814E-BDBE-433F15760680}"/>
  </bookViews>
  <sheets>
    <sheet name="Returns &amp; Asset Mix assumption" sheetId="3" r:id="rId1"/>
    <sheet name="Cash flows" sheetId="5" r:id="rId2"/>
    <sheet name="Net worth" sheetId="4" r:id="rId3"/>
    <sheet name="Real estate &amp; REIT" sheetId="18" r:id="rId4"/>
    <sheet name="Domestic Equity" sheetId="22" r:id="rId5"/>
    <sheet name="US equity" sheetId="29" r:id="rId6"/>
    <sheet name="Debt" sheetId="9" r:id="rId7"/>
    <sheet name="Gold" sheetId="16" r:id="rId8"/>
    <sheet name="Crypto" sheetId="28" r:id="rId9"/>
    <sheet name="Miscellaneous" sheetId="30" r:id="rId10"/>
    <sheet name="Financial Goals" sheetId="7" r:id="rId11"/>
  </sheets>
  <definedNames>
    <definedName name="_xlnm._FilterDatabase" localSheetId="10" hidden="1">'Financial Goals'!$B$10:$K$25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7" l="1"/>
  <c r="C38" i="4"/>
  <c r="C14" i="18"/>
  <c r="P13" i="9"/>
  <c r="P14" i="9"/>
  <c r="P12" i="9"/>
  <c r="P15" i="9" l="1"/>
  <c r="Q13" i="9" l="1"/>
  <c r="Q14" i="9"/>
  <c r="Q12" i="9"/>
  <c r="Q15" i="9" l="1"/>
  <c r="C28" i="4"/>
  <c r="K27" i="7"/>
  <c r="G27" i="7"/>
  <c r="L22" i="22" l="1"/>
  <c r="L23" i="22"/>
  <c r="L24" i="22"/>
  <c r="L21" i="22"/>
  <c r="G24" i="22"/>
  <c r="G23" i="22"/>
  <c r="G22" i="22"/>
  <c r="G21" i="22"/>
  <c r="G25" i="22" l="1"/>
  <c r="C26" i="4" s="1"/>
  <c r="L25" i="22"/>
  <c r="M21" i="22" s="1"/>
  <c r="C21" i="22"/>
  <c r="C22" i="22"/>
  <c r="C23" i="22"/>
  <c r="I23" i="7"/>
  <c r="I24" i="7"/>
  <c r="I25" i="7"/>
  <c r="M22" i="22" l="1"/>
  <c r="M23" i="22"/>
  <c r="M24" i="22"/>
  <c r="H23" i="22"/>
  <c r="H21" i="22"/>
  <c r="H22" i="22"/>
  <c r="H24" i="22"/>
  <c r="C24" i="22"/>
  <c r="C19" i="4"/>
  <c r="C15" i="30"/>
  <c r="C16" i="4"/>
  <c r="C15" i="29"/>
  <c r="C27" i="4" s="1"/>
  <c r="C14" i="28"/>
  <c r="C31" i="4" s="1"/>
  <c r="F19" i="4" s="1"/>
  <c r="C15" i="9"/>
  <c r="C29" i="4" s="1"/>
  <c r="C30" i="4"/>
  <c r="C32" i="4"/>
  <c r="L15" i="9"/>
  <c r="C20" i="4" s="1"/>
  <c r="I15" i="9"/>
  <c r="C24" i="4" s="1"/>
  <c r="F15" i="9"/>
  <c r="C23" i="4" s="1"/>
  <c r="C18" i="4"/>
  <c r="C17" i="4"/>
  <c r="C14" i="16"/>
  <c r="J14" i="4" l="1"/>
  <c r="J17" i="4"/>
  <c r="F17" i="4"/>
  <c r="M25" i="22"/>
  <c r="D23" i="22"/>
  <c r="D21" i="22"/>
  <c r="D22" i="22"/>
  <c r="J18" i="4"/>
  <c r="F16" i="4"/>
  <c r="J16" i="4"/>
  <c r="F18" i="4"/>
  <c r="D24" i="22" l="1"/>
  <c r="C15" i="4"/>
  <c r="F14" i="4" s="1"/>
  <c r="J19" i="4"/>
  <c r="C25" i="4" l="1"/>
  <c r="F20" i="3"/>
  <c r="E12" i="7"/>
  <c r="E13" i="7"/>
  <c r="E14" i="7"/>
  <c r="E15" i="7"/>
  <c r="E16" i="7"/>
  <c r="E17" i="7"/>
  <c r="E18" i="7"/>
  <c r="E19" i="7"/>
  <c r="E20" i="7"/>
  <c r="E21" i="7"/>
  <c r="E22" i="7"/>
  <c r="E23" i="7"/>
  <c r="M23" i="7" s="1"/>
  <c r="E24" i="7"/>
  <c r="M24" i="7" s="1"/>
  <c r="E25" i="7"/>
  <c r="R25" i="7" s="1"/>
  <c r="E11" i="7"/>
  <c r="C25" i="5"/>
  <c r="D29" i="4" s="1"/>
  <c r="D20" i="3"/>
  <c r="E20" i="3" s="1"/>
  <c r="N21" i="7" l="1"/>
  <c r="I21" i="7"/>
  <c r="M22" i="7"/>
  <c r="I22" i="7"/>
  <c r="N13" i="7"/>
  <c r="I13" i="7"/>
  <c r="Q11" i="7"/>
  <c r="I11" i="7"/>
  <c r="J15" i="4"/>
  <c r="J20" i="4" s="1"/>
  <c r="F15" i="4"/>
  <c r="N16" i="4"/>
  <c r="N15" i="4"/>
  <c r="N14" i="4"/>
  <c r="O20" i="7"/>
  <c r="I20" i="7"/>
  <c r="O12" i="7"/>
  <c r="I12" i="7"/>
  <c r="P19" i="7"/>
  <c r="I19" i="7"/>
  <c r="Q18" i="7"/>
  <c r="I18" i="7"/>
  <c r="R17" i="7"/>
  <c r="I17" i="7"/>
  <c r="M16" i="7"/>
  <c r="I16" i="7"/>
  <c r="M15" i="7"/>
  <c r="I15" i="7"/>
  <c r="M14" i="7"/>
  <c r="I14" i="7"/>
  <c r="N19" i="4"/>
  <c r="N18" i="4"/>
  <c r="N17" i="4"/>
  <c r="C33" i="4"/>
  <c r="G28" i="7" s="1"/>
  <c r="G29" i="7" s="1"/>
  <c r="O19" i="7"/>
  <c r="P16" i="7"/>
  <c r="Q17" i="7"/>
  <c r="Q16" i="7"/>
  <c r="R16" i="7"/>
  <c r="N19" i="7"/>
  <c r="N12" i="7"/>
  <c r="N24" i="7"/>
  <c r="O25" i="7"/>
  <c r="P24" i="7"/>
  <c r="R24" i="7"/>
  <c r="N20" i="7"/>
  <c r="O24" i="7"/>
  <c r="P18" i="7"/>
  <c r="R23" i="7"/>
  <c r="N11" i="7"/>
  <c r="P11" i="7"/>
  <c r="O18" i="7"/>
  <c r="O11" i="7"/>
  <c r="N25" i="7"/>
  <c r="P25" i="7"/>
  <c r="P17" i="7"/>
  <c r="N18" i="7"/>
  <c r="N17" i="7"/>
  <c r="O17" i="7"/>
  <c r="Q25" i="7"/>
  <c r="N16" i="7"/>
  <c r="O16" i="7"/>
  <c r="Q24" i="7"/>
  <c r="R15" i="7"/>
  <c r="Q23" i="7"/>
  <c r="Q15" i="7"/>
  <c r="R22" i="7"/>
  <c r="R14" i="7"/>
  <c r="P23" i="7"/>
  <c r="P15" i="7"/>
  <c r="Q22" i="7"/>
  <c r="Q14" i="7"/>
  <c r="R21" i="7"/>
  <c r="R13" i="7"/>
  <c r="M13" i="7"/>
  <c r="O15" i="7"/>
  <c r="R12" i="7"/>
  <c r="M19" i="7"/>
  <c r="O23" i="7"/>
  <c r="P22" i="7"/>
  <c r="P14" i="7"/>
  <c r="Q21" i="7"/>
  <c r="Q13" i="7"/>
  <c r="R20" i="7"/>
  <c r="N23" i="7"/>
  <c r="N15" i="7"/>
  <c r="O22" i="7"/>
  <c r="O14" i="7"/>
  <c r="P21" i="7"/>
  <c r="P13" i="7"/>
  <c r="Q20" i="7"/>
  <c r="Q12" i="7"/>
  <c r="R19" i="7"/>
  <c r="M20" i="7"/>
  <c r="M12" i="7"/>
  <c r="M11" i="7"/>
  <c r="M18" i="7"/>
  <c r="N22" i="7"/>
  <c r="N14" i="7"/>
  <c r="O21" i="7"/>
  <c r="O13" i="7"/>
  <c r="P20" i="7"/>
  <c r="P12" i="7"/>
  <c r="Q19" i="7"/>
  <c r="R11" i="7"/>
  <c r="R18" i="7"/>
  <c r="M21" i="7"/>
  <c r="M25" i="7"/>
  <c r="M17" i="7"/>
  <c r="K16" i="4" l="1"/>
  <c r="K19" i="4"/>
  <c r="K17" i="4"/>
  <c r="K15" i="4"/>
  <c r="K18" i="4"/>
  <c r="K14" i="4"/>
  <c r="M27" i="7"/>
  <c r="N28" i="22" s="1"/>
  <c r="N29" i="22" s="1"/>
  <c r="H25" i="22"/>
  <c r="N27" i="7"/>
  <c r="R27" i="7"/>
  <c r="O27" i="7"/>
  <c r="R18" i="9" s="1"/>
  <c r="P27" i="7"/>
  <c r="Q27" i="7"/>
  <c r="C21" i="4"/>
  <c r="C34" i="4" s="1"/>
  <c r="C17" i="5"/>
  <c r="C27" i="5" s="1"/>
  <c r="C44" i="4"/>
  <c r="R14" i="9" l="1"/>
  <c r="R13" i="9"/>
  <c r="R12" i="9"/>
  <c r="R19" i="9"/>
  <c r="G30" i="7"/>
  <c r="N20" i="4"/>
  <c r="C9" i="4"/>
  <c r="M28" i="7"/>
  <c r="Q28" i="7"/>
  <c r="O28" i="7"/>
  <c r="R28" i="7"/>
  <c r="P28" i="7"/>
  <c r="N28" i="7"/>
  <c r="C10" i="4"/>
  <c r="F20" i="4"/>
  <c r="R15" i="9" l="1"/>
  <c r="G19" i="4"/>
  <c r="G18" i="4"/>
  <c r="G17" i="4"/>
  <c r="G16" i="4"/>
  <c r="G15" i="4"/>
  <c r="G14" i="4"/>
  <c r="O17" i="4"/>
  <c r="O19" i="4"/>
  <c r="O14" i="4"/>
  <c r="O15" i="4"/>
  <c r="O16" i="4"/>
  <c r="O18" i="4"/>
  <c r="K28" i="7"/>
  <c r="K29" i="7" s="1"/>
  <c r="K30" i="7"/>
  <c r="O20" i="4" l="1"/>
  <c r="G20" i="4"/>
  <c r="K20" i="4" l="1"/>
</calcChain>
</file>

<file path=xl/sharedStrings.xml><?xml version="1.0" encoding="utf-8"?>
<sst xmlns="http://schemas.openxmlformats.org/spreadsheetml/2006/main" count="289" uniqueCount="152">
  <si>
    <t>Debt</t>
  </si>
  <si>
    <t>Crypto</t>
  </si>
  <si>
    <t>Real Estate / REITs</t>
  </si>
  <si>
    <t>Asset class</t>
  </si>
  <si>
    <t>Expected returns</t>
  </si>
  <si>
    <t>Domestic equity</t>
  </si>
  <si>
    <t>Effective returns</t>
  </si>
  <si>
    <t>Assets</t>
  </si>
  <si>
    <t>Liabilities</t>
  </si>
  <si>
    <t>Particulars</t>
  </si>
  <si>
    <t>Value (INR)</t>
  </si>
  <si>
    <t>Home</t>
  </si>
  <si>
    <t>Home loan</t>
  </si>
  <si>
    <t>Other real estate</t>
  </si>
  <si>
    <t>Credit card</t>
  </si>
  <si>
    <t>Personal/Gold loan</t>
  </si>
  <si>
    <t>Education loan</t>
  </si>
  <si>
    <t>Car loan</t>
  </si>
  <si>
    <t>Total Liabilities</t>
  </si>
  <si>
    <t>Jewellery</t>
  </si>
  <si>
    <t>Total Assets</t>
  </si>
  <si>
    <t>Inflows</t>
  </si>
  <si>
    <t>Business income</t>
  </si>
  <si>
    <t>Rental income</t>
  </si>
  <si>
    <t>Others</t>
  </si>
  <si>
    <t>Total</t>
  </si>
  <si>
    <t>Monthly expenses</t>
  </si>
  <si>
    <t>Outflows</t>
  </si>
  <si>
    <t>Investing surplus</t>
  </si>
  <si>
    <t>Post-tax salary</t>
  </si>
  <si>
    <t>Fixed deposit</t>
  </si>
  <si>
    <t>Debt funds</t>
  </si>
  <si>
    <t>EPF / PPF / VPF</t>
  </si>
  <si>
    <t>Illiquid</t>
  </si>
  <si>
    <t>SGB</t>
  </si>
  <si>
    <t>ULIPs</t>
  </si>
  <si>
    <t>Gold ETF, digital gold etc</t>
  </si>
  <si>
    <t>Liquid</t>
  </si>
  <si>
    <t>Other liabilities</t>
  </si>
  <si>
    <t>Gold</t>
  </si>
  <si>
    <t>% contribution</t>
  </si>
  <si>
    <t>US equity</t>
  </si>
  <si>
    <t>Goal</t>
  </si>
  <si>
    <t>Goal Type</t>
  </si>
  <si>
    <t>Amount required (today)</t>
  </si>
  <si>
    <t>Amount required (future)</t>
  </si>
  <si>
    <t>Priority</t>
  </si>
  <si>
    <t>Amount available (today)</t>
  </si>
  <si>
    <t>Goal inflation</t>
  </si>
  <si>
    <t>SIP required</t>
  </si>
  <si>
    <t>Step up</t>
  </si>
  <si>
    <t>&lt; 3 years</t>
  </si>
  <si>
    <t>Insurance premiums</t>
  </si>
  <si>
    <t>Loan EMIs</t>
  </si>
  <si>
    <t>Compulsory investments (eg. ULIPs, chit funds etc.)</t>
  </si>
  <si>
    <t>SIP Asset allocation</t>
  </si>
  <si>
    <t>Gold (SGB / ETF)</t>
  </si>
  <si>
    <t>&gt; 6 years</t>
  </si>
  <si>
    <t>3-5 years</t>
  </si>
  <si>
    <t>Short Term</t>
  </si>
  <si>
    <t>Medium Term</t>
  </si>
  <si>
    <t>Long Term</t>
  </si>
  <si>
    <t>Max</t>
  </si>
  <si>
    <t>Total Illiquid</t>
  </si>
  <si>
    <t>Total Liquid</t>
  </si>
  <si>
    <t>Domestic Stock market</t>
  </si>
  <si>
    <t>Domestic Equity mutual funds</t>
  </si>
  <si>
    <t>Domestic Equity</t>
  </si>
  <si>
    <t>US Equity</t>
  </si>
  <si>
    <t>Real Estate / Reits</t>
  </si>
  <si>
    <t>Total Asset Summary</t>
  </si>
  <si>
    <t>Liquid Assets</t>
  </si>
  <si>
    <t>Total Net Worth</t>
  </si>
  <si>
    <t>REITs</t>
  </si>
  <si>
    <t>Best REITs in India</t>
  </si>
  <si>
    <t>Stocks</t>
  </si>
  <si>
    <t>Category</t>
  </si>
  <si>
    <t>Largecap</t>
  </si>
  <si>
    <t>Midcap</t>
  </si>
  <si>
    <t>Smallcap</t>
  </si>
  <si>
    <t>Mutual fund / ETF / Smallcase</t>
  </si>
  <si>
    <t>Current Value (INR)</t>
  </si>
  <si>
    <t>SIP</t>
  </si>
  <si>
    <t>Company size</t>
  </si>
  <si>
    <t>Current value (INR)</t>
  </si>
  <si>
    <t>Contribution %</t>
  </si>
  <si>
    <t>Mutual fund / ETF / Smallcase / Stock</t>
  </si>
  <si>
    <t>Gold ETF / Digital gold</t>
  </si>
  <si>
    <t>Fixed Deposit</t>
  </si>
  <si>
    <t>Bank name</t>
  </si>
  <si>
    <t>Name</t>
  </si>
  <si>
    <t>Government investments</t>
  </si>
  <si>
    <t>Input cells</t>
  </si>
  <si>
    <t>Formula cells (you cannot edit)</t>
  </si>
  <si>
    <t>S&amp;P500 ETF</t>
  </si>
  <si>
    <t>Other ETFs</t>
  </si>
  <si>
    <t>US Mutual funds</t>
  </si>
  <si>
    <t>Liquid (savings account, cash, liquid fund)</t>
  </si>
  <si>
    <t>Available</t>
  </si>
  <si>
    <t>Time (Years left for goal)</t>
  </si>
  <si>
    <t>Current Investable Asset Allocation</t>
  </si>
  <si>
    <t>Required Investable Asset Allocation</t>
  </si>
  <si>
    <t>Mutual fund components</t>
  </si>
  <si>
    <t>This workbook along with all its contents are the intellectual property of The 1% Club, distribution of which is strictly prohibited.</t>
  </si>
  <si>
    <t>Entry cells</t>
  </si>
  <si>
    <t>Formula cells</t>
  </si>
  <si>
    <t xml:space="preserve">Formula cells </t>
  </si>
  <si>
    <t>ULIPs/other insurance products</t>
  </si>
  <si>
    <t>Age</t>
  </si>
  <si>
    <t>20-30</t>
  </si>
  <si>
    <t>30-45</t>
  </si>
  <si>
    <t>45-65</t>
  </si>
  <si>
    <t>&gt;65</t>
  </si>
  <si>
    <t>Flexi/Multi cap</t>
  </si>
  <si>
    <t>Flexi/Multicap</t>
  </si>
  <si>
    <t>Small Case</t>
  </si>
  <si>
    <t>Small case</t>
  </si>
  <si>
    <t>Duration</t>
  </si>
  <si>
    <t>Banking PSUs/Corporate funds</t>
  </si>
  <si>
    <t>Government securities/Equity Saver funds</t>
  </si>
  <si>
    <t>FD/RD/Arbitrage</t>
  </si>
  <si>
    <t>PF</t>
  </si>
  <si>
    <t>Required contribution</t>
  </si>
  <si>
    <t>SIP Allocator</t>
  </si>
  <si>
    <t>Cash</t>
  </si>
  <si>
    <t>Parag Parikh Equity</t>
  </si>
  <si>
    <t>Aditya Birla Sun Life PSU</t>
  </si>
  <si>
    <t>MidCap</t>
  </si>
  <si>
    <t>Quant ELSS TAX Saver Fund Direct Growth</t>
  </si>
  <si>
    <t>Mahima BOB Account</t>
  </si>
  <si>
    <t>Standard Chartered</t>
  </si>
  <si>
    <t>BOB Current Account</t>
  </si>
  <si>
    <t>Bank of Maharashtra</t>
  </si>
  <si>
    <t>BOB Savings</t>
  </si>
  <si>
    <t>NPS</t>
  </si>
  <si>
    <t>EPF</t>
  </si>
  <si>
    <t>Close the plot loan</t>
  </si>
  <si>
    <t>Buy Gold in Diwali</t>
  </si>
  <si>
    <t>Buy Scooty for Wife</t>
  </si>
  <si>
    <t>Vacation Plan Yearly</t>
  </si>
  <si>
    <t>Bajaj Finserve Liquid Fund</t>
  </si>
  <si>
    <t>ICICI Prudential Liquid Fund</t>
  </si>
  <si>
    <t>HDFC Bank Salary</t>
  </si>
  <si>
    <t>SBI Bank</t>
  </si>
  <si>
    <t>Emergency Fund</t>
  </si>
  <si>
    <t>Ekansh Education</t>
  </si>
  <si>
    <t>Ekansh Marriage</t>
  </si>
  <si>
    <t>Ekansh 1st Birthday</t>
  </si>
  <si>
    <t>FIRE Number</t>
  </si>
  <si>
    <t>Bank of Baroda Savings Account</t>
  </si>
  <si>
    <t>ICICI iWish for Scooty</t>
  </si>
  <si>
    <t>Wint 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</si>
</sst>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 &quot;₹&quot;\ * #,##0_ ;_ &quot;₹&quot;\ * \-#,##0_ ;_ &quot;₹&quot;\ * &quot;-&quot;??_ ;_ @_ "/>
    <numFmt numFmtId="166" formatCode="_ &quot;₹&quot;\ * #,##0.0_ ;_ &quot;₹&quot;\ * \-#,##0.0_ ;_ &quot;₹&quot;\ * &quot;-&quot;??_ ;_ @_ "/>
  </numFmts>
  <fonts count="3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color theme="1"/>
      <name val="Times New Roman"/>
      <family val="1"/>
    </font>
    <font>
      <b/>
      <i/>
      <sz val="10"/>
      <color theme="1"/>
      <name val="Calibri"/>
      <family val="2"/>
      <scheme val="minor"/>
    </font>
    <font>
      <sz val="12"/>
      <color theme="1"/>
      <name val="Aptos Narrow"/>
      <family val="2"/>
    </font>
    <font>
      <sz val="10"/>
      <color theme="1"/>
      <name val="Aptos Narrow"/>
      <family val="2"/>
    </font>
    <font>
      <sz val="11"/>
      <color theme="1"/>
      <name val="Aptos Narrow"/>
      <family val="2"/>
    </font>
    <font>
      <b/>
      <sz val="10"/>
      <color rgb="FF000000"/>
      <name val="Aptos Narrow"/>
      <family val="2"/>
    </font>
    <font>
      <b/>
      <sz val="11"/>
      <color theme="0"/>
      <name val="Aptos Narrow"/>
      <family val="2"/>
    </font>
    <font>
      <b/>
      <sz val="12"/>
      <color theme="1"/>
      <name val="Aptos Narrow"/>
      <family val="2"/>
    </font>
    <font>
      <b/>
      <sz val="11"/>
      <color theme="1"/>
      <name val="Aptos Narrow"/>
      <family val="2"/>
    </font>
    <font>
      <b/>
      <sz val="12"/>
      <color theme="0"/>
      <name val="Aptos Narrow"/>
      <family val="2"/>
    </font>
    <font>
      <sz val="10"/>
      <color rgb="FF000000"/>
      <name val="Aptos Narrow"/>
      <family val="2"/>
    </font>
    <font>
      <b/>
      <sz val="14"/>
      <color theme="1"/>
      <name val="Aptos Narrow"/>
      <family val="2"/>
    </font>
    <font>
      <sz val="14"/>
      <color theme="1"/>
      <name val="Aptos Narrow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i/>
      <sz val="9"/>
      <color theme="1"/>
      <name val="Aptos Narrow"/>
      <family val="2"/>
    </font>
    <font>
      <b/>
      <sz val="12"/>
      <name val="Aptos Narrow"/>
      <family val="2"/>
    </font>
    <font>
      <sz val="9"/>
      <color theme="1"/>
      <name val="Aptos Narrow"/>
      <family val="2"/>
    </font>
    <font>
      <sz val="8"/>
      <color theme="1"/>
      <name val="Aptos Narrow"/>
      <family val="2"/>
    </font>
    <font>
      <b/>
      <i/>
      <sz val="10"/>
      <color theme="1"/>
      <name val="Aptos Narrow"/>
      <family val="2"/>
    </font>
    <font>
      <b/>
      <i/>
      <sz val="12"/>
      <color theme="1"/>
      <name val="Aptos Narrow"/>
      <family val="2"/>
    </font>
    <font>
      <u/>
      <sz val="12"/>
      <color theme="10"/>
      <name val="Aptos Narrow"/>
      <family val="2"/>
    </font>
    <font>
      <i/>
      <sz val="12"/>
      <color theme="1"/>
      <name val="Aptos Narrow"/>
      <family val="2"/>
    </font>
    <font>
      <sz val="12"/>
      <color theme="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AF5E5"/>
        <bgColor rgb="FFFAF5E5"/>
      </patternFill>
    </fill>
    <fill>
      <patternFill patternType="solid">
        <fgColor rgb="FFE2EFD9"/>
        <bgColor rgb="FFE2EFD9"/>
      </patternFill>
    </fill>
    <fill>
      <patternFill patternType="solid">
        <fgColor theme="1"/>
        <bgColor indexed="64"/>
      </patternFill>
    </fill>
    <fill>
      <patternFill patternType="solid">
        <fgColor rgb="FFE2EFD9"/>
        <bgColor theme="6"/>
      </patternFill>
    </fill>
    <fill>
      <patternFill patternType="solid">
        <fgColor rgb="FFE2EFD9"/>
        <bgColor indexed="64"/>
      </patternFill>
    </fill>
    <fill>
      <patternFill patternType="solid">
        <fgColor rgb="FFE2EFD9"/>
        <bgColor rgb="FFFFFFFF"/>
      </patternFill>
    </fill>
    <fill>
      <patternFill patternType="solid">
        <fgColor rgb="FFFAF5E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AF5E5"/>
        <bgColor rgb="FF000000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" fillId="0" borderId="0"/>
    <xf numFmtId="0" fontId="2" fillId="0" borderId="0"/>
    <xf numFmtId="0" fontId="10" fillId="0" borderId="0" applyNumberFormat="0" applyFill="0" applyBorder="0" applyAlignment="0" applyProtection="0"/>
  </cellStyleXfs>
  <cellXfs count="184">
    <xf numFmtId="0" fontId="0" fillId="0" borderId="0" xfId="0"/>
    <xf numFmtId="0" fontId="8" fillId="0" borderId="0" xfId="0" applyFont="1" applyAlignment="1" applyProtection="1">
      <alignment horizontal="left" wrapText="1"/>
      <protection hidden="1"/>
    </xf>
    <xf numFmtId="0" fontId="11" fillId="0" borderId="0" xfId="3" applyFont="1" applyAlignment="1" applyProtection="1">
      <alignment horizontal="left" vertical="center" wrapText="1"/>
      <protection hidden="1"/>
    </xf>
    <xf numFmtId="0" fontId="8" fillId="0" borderId="0" xfId="0" applyFont="1" applyProtection="1">
      <protection hidden="1"/>
    </xf>
    <xf numFmtId="0" fontId="12" fillId="0" borderId="0" xfId="0" applyFont="1" applyAlignment="1" applyProtection="1">
      <alignment horizontal="left" wrapText="1"/>
      <protection hidden="1"/>
    </xf>
    <xf numFmtId="0" fontId="12" fillId="0" borderId="0" xfId="0" applyFont="1" applyAlignment="1" applyProtection="1">
      <alignment horizontal="left"/>
      <protection hidden="1"/>
    </xf>
    <xf numFmtId="0" fontId="0" fillId="0" borderId="0" xfId="0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0" fillId="3" borderId="0" xfId="0" applyFill="1" applyProtection="1">
      <protection hidden="1"/>
    </xf>
    <xf numFmtId="0" fontId="8" fillId="0" borderId="0" xfId="0" applyFont="1" applyAlignment="1" applyProtection="1">
      <alignment horizontal="center"/>
      <protection hidden="1"/>
    </xf>
    <xf numFmtId="0" fontId="1" fillId="3" borderId="0" xfId="0" applyFont="1" applyFill="1" applyAlignment="1" applyProtection="1">
      <alignment horizontal="center"/>
      <protection hidden="1"/>
    </xf>
    <xf numFmtId="164" fontId="0" fillId="3" borderId="0" xfId="2" applyNumberFormat="1" applyFont="1" applyFill="1" applyProtection="1">
      <protection hidden="1"/>
    </xf>
    <xf numFmtId="9" fontId="0" fillId="3" borderId="0" xfId="0" applyNumberFormat="1" applyFill="1" applyProtection="1">
      <protection hidden="1"/>
    </xf>
    <xf numFmtId="164" fontId="0" fillId="3" borderId="0" xfId="0" applyNumberFormat="1" applyFill="1" applyProtection="1">
      <protection hidden="1"/>
    </xf>
    <xf numFmtId="43" fontId="0" fillId="0" borderId="0" xfId="0" applyNumberFormat="1" applyProtection="1">
      <protection hidden="1"/>
    </xf>
    <xf numFmtId="164" fontId="3" fillId="3" borderId="0" xfId="0" applyNumberFormat="1" applyFont="1" applyFill="1" applyProtection="1">
      <protection hidden="1"/>
    </xf>
    <xf numFmtId="43" fontId="0" fillId="3" borderId="0" xfId="0" applyNumberFormat="1" applyFill="1" applyProtection="1">
      <protection hidden="1"/>
    </xf>
    <xf numFmtId="9" fontId="5" fillId="0" borderId="0" xfId="1" applyFont="1" applyProtection="1">
      <protection hidden="1"/>
    </xf>
    <xf numFmtId="0" fontId="13" fillId="0" borderId="0" xfId="0" applyFont="1"/>
    <xf numFmtId="0" fontId="15" fillId="4" borderId="0" xfId="0" applyFont="1" applyFill="1"/>
    <xf numFmtId="0" fontId="16" fillId="0" borderId="0" xfId="0" applyFont="1"/>
    <xf numFmtId="0" fontId="15" fillId="5" borderId="0" xfId="0" applyFont="1" applyFill="1"/>
    <xf numFmtId="0" fontId="17" fillId="6" borderId="2" xfId="0" applyFont="1" applyFill="1" applyBorder="1" applyAlignment="1">
      <alignment horizontal="center"/>
    </xf>
    <xf numFmtId="0" fontId="17" fillId="6" borderId="4" xfId="0" applyFont="1" applyFill="1" applyBorder="1" applyAlignment="1">
      <alignment horizontal="center"/>
    </xf>
    <xf numFmtId="0" fontId="0" fillId="0" borderId="5" xfId="0" applyBorder="1" applyProtection="1">
      <protection hidden="1"/>
    </xf>
    <xf numFmtId="0" fontId="3" fillId="0" borderId="7" xfId="0" applyFont="1" applyBorder="1" applyProtection="1">
      <protection hidden="1"/>
    </xf>
    <xf numFmtId="0" fontId="3" fillId="0" borderId="11" xfId="0" applyFont="1" applyBorder="1" applyProtection="1">
      <protection hidden="1"/>
    </xf>
    <xf numFmtId="0" fontId="3" fillId="0" borderId="12" xfId="0" applyFont="1" applyBorder="1" applyAlignment="1" applyProtection="1">
      <alignment horizontal="center"/>
      <protection hidden="1"/>
    </xf>
    <xf numFmtId="165" fontId="15" fillId="5" borderId="4" xfId="0" applyNumberFormat="1" applyFont="1" applyFill="1" applyBorder="1" applyProtection="1">
      <protection hidden="1"/>
    </xf>
    <xf numFmtId="165" fontId="15" fillId="5" borderId="9" xfId="0" applyNumberFormat="1" applyFont="1" applyFill="1" applyBorder="1" applyProtection="1">
      <protection hidden="1"/>
    </xf>
    <xf numFmtId="165" fontId="19" fillId="5" borderId="3" xfId="0" applyNumberFormat="1" applyFont="1" applyFill="1" applyBorder="1" applyProtection="1">
      <protection hidden="1"/>
    </xf>
    <xf numFmtId="0" fontId="0" fillId="0" borderId="5" xfId="0" applyBorder="1" applyAlignment="1" applyProtection="1">
      <alignment wrapText="1"/>
      <protection hidden="1"/>
    </xf>
    <xf numFmtId="0" fontId="20" fillId="2" borderId="0" xfId="3" applyFont="1" applyFill="1" applyAlignment="1" applyProtection="1">
      <alignment horizontal="center"/>
      <protection hidden="1"/>
    </xf>
    <xf numFmtId="0" fontId="13" fillId="2" borderId="0" xfId="3" applyFont="1" applyFill="1" applyAlignment="1" applyProtection="1">
      <alignment horizontal="center"/>
      <protection hidden="1"/>
    </xf>
    <xf numFmtId="0" fontId="21" fillId="0" borderId="0" xfId="3" applyFont="1" applyProtection="1">
      <protection hidden="1"/>
    </xf>
    <xf numFmtId="0" fontId="13" fillId="0" borderId="0" xfId="0" applyFont="1" applyProtection="1">
      <protection hidden="1"/>
    </xf>
    <xf numFmtId="0" fontId="14" fillId="0" borderId="0" xfId="0" applyFont="1" applyAlignment="1" applyProtection="1">
      <alignment horizontal="center" vertical="top" wrapText="1"/>
      <protection hidden="1"/>
    </xf>
    <xf numFmtId="0" fontId="18" fillId="0" borderId="0" xfId="3" applyFont="1" applyProtection="1">
      <protection hidden="1"/>
    </xf>
    <xf numFmtId="3" fontId="18" fillId="7" borderId="0" xfId="3" applyNumberFormat="1" applyFont="1" applyFill="1" applyAlignment="1" applyProtection="1">
      <alignment horizontal="right"/>
      <protection hidden="1"/>
    </xf>
    <xf numFmtId="0" fontId="13" fillId="0" borderId="0" xfId="3" applyFont="1" applyAlignment="1" applyProtection="1">
      <alignment horizontal="center"/>
      <protection hidden="1"/>
    </xf>
    <xf numFmtId="0" fontId="13" fillId="0" borderId="0" xfId="3" applyFont="1" applyProtection="1">
      <protection hidden="1"/>
    </xf>
    <xf numFmtId="0" fontId="13" fillId="0" borderId="5" xfId="3" applyFont="1" applyBorder="1" applyProtection="1">
      <protection hidden="1"/>
    </xf>
    <xf numFmtId="43" fontId="26" fillId="0" borderId="0" xfId="2" applyFont="1" applyProtection="1">
      <protection hidden="1"/>
    </xf>
    <xf numFmtId="0" fontId="18" fillId="0" borderId="5" xfId="3" applyFont="1" applyBorder="1" applyProtection="1">
      <protection hidden="1"/>
    </xf>
    <xf numFmtId="0" fontId="18" fillId="0" borderId="7" xfId="3" applyFont="1" applyBorder="1" applyProtection="1">
      <protection hidden="1"/>
    </xf>
    <xf numFmtId="0" fontId="25" fillId="0" borderId="0" xfId="3" applyFont="1" applyProtection="1">
      <protection hidden="1"/>
    </xf>
    <xf numFmtId="0" fontId="13" fillId="0" borderId="5" xfId="3" applyFont="1" applyBorder="1" applyAlignment="1" applyProtection="1">
      <alignment wrapText="1"/>
      <protection hidden="1"/>
    </xf>
    <xf numFmtId="166" fontId="18" fillId="7" borderId="10" xfId="3" applyNumberFormat="1" applyFont="1" applyFill="1" applyBorder="1" applyAlignment="1" applyProtection="1">
      <alignment horizontal="right"/>
      <protection hidden="1"/>
    </xf>
    <xf numFmtId="165" fontId="18" fillId="9" borderId="9" xfId="3" applyNumberFormat="1" applyFont="1" applyFill="1" applyBorder="1" applyProtection="1">
      <protection hidden="1"/>
    </xf>
    <xf numFmtId="165" fontId="18" fillId="7" borderId="10" xfId="3" applyNumberFormat="1" applyFont="1" applyFill="1" applyBorder="1" applyAlignment="1" applyProtection="1">
      <alignment horizontal="right"/>
      <protection hidden="1"/>
    </xf>
    <xf numFmtId="165" fontId="18" fillId="9" borderId="10" xfId="3" applyNumberFormat="1" applyFont="1" applyFill="1" applyBorder="1" applyProtection="1">
      <protection hidden="1"/>
    </xf>
    <xf numFmtId="0" fontId="25" fillId="0" borderId="5" xfId="3" applyFont="1" applyBorder="1" applyProtection="1">
      <protection hidden="1"/>
    </xf>
    <xf numFmtId="9" fontId="25" fillId="8" borderId="6" xfId="1" applyFont="1" applyFill="1" applyBorder="1" applyProtection="1">
      <protection hidden="1"/>
    </xf>
    <xf numFmtId="0" fontId="24" fillId="0" borderId="7" xfId="3" applyFont="1" applyBorder="1" applyProtection="1">
      <protection hidden="1"/>
    </xf>
    <xf numFmtId="9" fontId="24" fillId="8" borderId="8" xfId="3" applyNumberFormat="1" applyFont="1" applyFill="1" applyBorder="1" applyProtection="1">
      <protection hidden="1"/>
    </xf>
    <xf numFmtId="165" fontId="15" fillId="5" borderId="5" xfId="0" applyNumberFormat="1" applyFont="1" applyFill="1" applyBorder="1" applyProtection="1">
      <protection hidden="1"/>
    </xf>
    <xf numFmtId="165" fontId="18" fillId="9" borderId="7" xfId="3" applyNumberFormat="1" applyFont="1" applyFill="1" applyBorder="1" applyProtection="1">
      <protection hidden="1"/>
    </xf>
    <xf numFmtId="0" fontId="7" fillId="10" borderId="0" xfId="0" applyFont="1" applyFill="1" applyProtection="1">
      <protection hidden="1"/>
    </xf>
    <xf numFmtId="0" fontId="7" fillId="8" borderId="0" xfId="0" applyFont="1" applyFill="1" applyProtection="1">
      <protection hidden="1"/>
    </xf>
    <xf numFmtId="0" fontId="0" fillId="10" borderId="5" xfId="0" applyFill="1" applyBorder="1" applyProtection="1">
      <protection locked="0" hidden="1"/>
    </xf>
    <xf numFmtId="0" fontId="0" fillId="10" borderId="0" xfId="0" applyFill="1" applyProtection="1">
      <protection locked="0" hidden="1"/>
    </xf>
    <xf numFmtId="0" fontId="0" fillId="8" borderId="0" xfId="0" applyFill="1" applyProtection="1">
      <protection hidden="1"/>
    </xf>
    <xf numFmtId="9" fontId="0" fillId="10" borderId="0" xfId="0" applyNumberFormat="1" applyFill="1" applyProtection="1">
      <protection locked="0" hidden="1"/>
    </xf>
    <xf numFmtId="9" fontId="0" fillId="10" borderId="0" xfId="0" applyNumberFormat="1" applyFill="1" applyAlignment="1" applyProtection="1">
      <alignment horizontal="right"/>
      <protection locked="0" hidden="1"/>
    </xf>
    <xf numFmtId="0" fontId="0" fillId="10" borderId="7" xfId="0" applyFill="1" applyBorder="1" applyProtection="1">
      <protection locked="0" hidden="1"/>
    </xf>
    <xf numFmtId="0" fontId="0" fillId="10" borderId="1" xfId="0" applyFill="1" applyBorder="1" applyProtection="1">
      <protection locked="0" hidden="1"/>
    </xf>
    <xf numFmtId="0" fontId="0" fillId="8" borderId="1" xfId="0" applyFill="1" applyBorder="1" applyProtection="1">
      <protection hidden="1"/>
    </xf>
    <xf numFmtId="9" fontId="0" fillId="10" borderId="1" xfId="0" applyNumberFormat="1" applyFill="1" applyBorder="1" applyProtection="1">
      <protection locked="0" hidden="1"/>
    </xf>
    <xf numFmtId="165" fontId="0" fillId="10" borderId="0" xfId="2" applyNumberFormat="1" applyFont="1" applyFill="1" applyBorder="1" applyProtection="1">
      <protection locked="0" hidden="1"/>
    </xf>
    <xf numFmtId="165" fontId="0" fillId="10" borderId="1" xfId="2" applyNumberFormat="1" applyFont="1" applyFill="1" applyBorder="1" applyProtection="1">
      <protection locked="0" hidden="1"/>
    </xf>
    <xf numFmtId="165" fontId="0" fillId="8" borderId="0" xfId="2" applyNumberFormat="1" applyFont="1" applyFill="1" applyBorder="1" applyProtection="1">
      <protection hidden="1"/>
    </xf>
    <xf numFmtId="165" fontId="0" fillId="8" borderId="1" xfId="2" applyNumberFormat="1" applyFont="1" applyFill="1" applyBorder="1" applyProtection="1">
      <protection hidden="1"/>
    </xf>
    <xf numFmtId="165" fontId="0" fillId="10" borderId="6" xfId="2" applyNumberFormat="1" applyFont="1" applyFill="1" applyBorder="1" applyProtection="1">
      <protection locked="0" hidden="1"/>
    </xf>
    <xf numFmtId="165" fontId="0" fillId="10" borderId="8" xfId="2" applyNumberFormat="1" applyFont="1" applyFill="1" applyBorder="1" applyProtection="1">
      <protection locked="0" hidden="1"/>
    </xf>
    <xf numFmtId="165" fontId="0" fillId="8" borderId="0" xfId="0" applyNumberFormat="1" applyFill="1" applyProtection="1">
      <protection hidden="1"/>
    </xf>
    <xf numFmtId="165" fontId="3" fillId="3" borderId="0" xfId="0" applyNumberFormat="1" applyFont="1" applyFill="1" applyProtection="1">
      <protection hidden="1"/>
    </xf>
    <xf numFmtId="165" fontId="3" fillId="8" borderId="11" xfId="0" applyNumberFormat="1" applyFont="1" applyFill="1" applyBorder="1" applyProtection="1">
      <protection hidden="1"/>
    </xf>
    <xf numFmtId="165" fontId="3" fillId="8" borderId="12" xfId="0" applyNumberFormat="1" applyFont="1" applyFill="1" applyBorder="1" applyProtection="1">
      <protection hidden="1"/>
    </xf>
    <xf numFmtId="165" fontId="3" fillId="8" borderId="13" xfId="0" applyNumberFormat="1" applyFont="1" applyFill="1" applyBorder="1" applyProtection="1">
      <protection hidden="1"/>
    </xf>
    <xf numFmtId="0" fontId="0" fillId="0" borderId="2" xfId="0" applyBorder="1" applyProtection="1">
      <protection hidden="1"/>
    </xf>
    <xf numFmtId="165" fontId="3" fillId="8" borderId="14" xfId="0" applyNumberFormat="1" applyFont="1" applyFill="1" applyBorder="1" applyProtection="1">
      <protection hidden="1"/>
    </xf>
    <xf numFmtId="165" fontId="0" fillId="8" borderId="6" xfId="2" applyNumberFormat="1" applyFont="1" applyFill="1" applyBorder="1" applyProtection="1">
      <protection hidden="1"/>
    </xf>
    <xf numFmtId="0" fontId="0" fillId="0" borderId="7" xfId="0" applyBorder="1" applyProtection="1">
      <protection hidden="1"/>
    </xf>
    <xf numFmtId="165" fontId="0" fillId="8" borderId="8" xfId="2" applyNumberFormat="1" applyFont="1" applyFill="1" applyBorder="1" applyProtection="1">
      <protection hidden="1"/>
    </xf>
    <xf numFmtId="0" fontId="0" fillId="0" borderId="2" xfId="0" applyBorder="1" applyAlignment="1" applyProtection="1">
      <alignment horizontal="right"/>
      <protection hidden="1"/>
    </xf>
    <xf numFmtId="0" fontId="0" fillId="0" borderId="5" xfId="0" applyBorder="1" applyAlignment="1" applyProtection="1">
      <alignment horizontal="right"/>
      <protection hidden="1"/>
    </xf>
    <xf numFmtId="165" fontId="9" fillId="8" borderId="6" xfId="0" applyNumberFormat="1" applyFont="1" applyFill="1" applyBorder="1" applyProtection="1">
      <protection hidden="1"/>
    </xf>
    <xf numFmtId="0" fontId="0" fillId="0" borderId="7" xfId="0" applyBorder="1" applyAlignment="1" applyProtection="1">
      <alignment horizontal="right"/>
      <protection hidden="1"/>
    </xf>
    <xf numFmtId="165" fontId="0" fillId="8" borderId="8" xfId="0" applyNumberFormat="1" applyFill="1" applyBorder="1" applyProtection="1">
      <protection hidden="1"/>
    </xf>
    <xf numFmtId="0" fontId="23" fillId="10" borderId="0" xfId="0" applyFont="1" applyFill="1" applyProtection="1">
      <protection hidden="1"/>
    </xf>
    <xf numFmtId="0" fontId="30" fillId="0" borderId="0" xfId="0" applyFont="1" applyAlignment="1" applyProtection="1">
      <alignment horizontal="left" wrapText="1"/>
      <protection hidden="1"/>
    </xf>
    <xf numFmtId="0" fontId="31" fillId="0" borderId="0" xfId="0" applyFont="1" applyProtection="1">
      <protection hidden="1"/>
    </xf>
    <xf numFmtId="0" fontId="23" fillId="8" borderId="0" xfId="0" applyFont="1" applyFill="1" applyProtection="1">
      <protection hidden="1"/>
    </xf>
    <xf numFmtId="0" fontId="30" fillId="0" borderId="0" xfId="0" applyFont="1" applyAlignment="1" applyProtection="1">
      <alignment horizontal="left"/>
      <protection hidden="1"/>
    </xf>
    <xf numFmtId="0" fontId="31" fillId="0" borderId="0" xfId="0" applyFont="1" applyAlignment="1" applyProtection="1">
      <alignment horizontal="left" wrapText="1"/>
      <protection hidden="1"/>
    </xf>
    <xf numFmtId="0" fontId="13" fillId="0" borderId="5" xfId="0" applyFont="1" applyBorder="1" applyProtection="1">
      <protection hidden="1"/>
    </xf>
    <xf numFmtId="165" fontId="13" fillId="10" borderId="9" xfId="2" applyNumberFormat="1" applyFont="1" applyFill="1" applyBorder="1" applyProtection="1">
      <protection locked="0" hidden="1"/>
    </xf>
    <xf numFmtId="0" fontId="32" fillId="0" borderId="0" xfId="5" applyFont="1" applyProtection="1">
      <protection hidden="1"/>
    </xf>
    <xf numFmtId="0" fontId="13" fillId="0" borderId="7" xfId="0" applyFont="1" applyBorder="1" applyProtection="1">
      <protection hidden="1"/>
    </xf>
    <xf numFmtId="165" fontId="13" fillId="8" borderId="10" xfId="0" applyNumberFormat="1" applyFont="1" applyFill="1" applyBorder="1" applyProtection="1">
      <protection hidden="1"/>
    </xf>
    <xf numFmtId="0" fontId="29" fillId="0" borderId="0" xfId="3" applyFont="1" applyAlignment="1" applyProtection="1">
      <alignment horizontal="left" vertical="top" wrapText="1"/>
      <protection hidden="1"/>
    </xf>
    <xf numFmtId="0" fontId="13" fillId="0" borderId="2" xfId="0" applyFont="1" applyBorder="1" applyProtection="1">
      <protection hidden="1"/>
    </xf>
    <xf numFmtId="165" fontId="13" fillId="8" borderId="2" xfId="2" applyNumberFormat="1" applyFont="1" applyFill="1" applyBorder="1" applyProtection="1">
      <protection hidden="1"/>
    </xf>
    <xf numFmtId="9" fontId="13" fillId="8" borderId="14" xfId="1" applyFont="1" applyFill="1" applyBorder="1" applyProtection="1"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8" borderId="5" xfId="2" applyNumberFormat="1" applyFont="1" applyFill="1" applyBorder="1" applyProtection="1">
      <protection hidden="1"/>
    </xf>
    <xf numFmtId="9" fontId="13" fillId="8" borderId="6" xfId="1" applyFont="1" applyFill="1" applyBorder="1" applyProtection="1">
      <protection hidden="1"/>
    </xf>
    <xf numFmtId="0" fontId="13" fillId="0" borderId="5" xfId="0" applyFont="1" applyBorder="1" applyAlignment="1" applyProtection="1">
      <alignment horizontal="left"/>
      <protection hidden="1"/>
    </xf>
    <xf numFmtId="9" fontId="13" fillId="8" borderId="9" xfId="1" applyFont="1" applyFill="1" applyBorder="1" applyProtection="1">
      <protection hidden="1"/>
    </xf>
    <xf numFmtId="0" fontId="18" fillId="0" borderId="7" xfId="0" applyFont="1" applyBorder="1" applyProtection="1">
      <protection hidden="1"/>
    </xf>
    <xf numFmtId="165" fontId="18" fillId="8" borderId="7" xfId="2" applyNumberFormat="1" applyFont="1" applyFill="1" applyBorder="1" applyProtection="1">
      <protection hidden="1"/>
    </xf>
    <xf numFmtId="9" fontId="18" fillId="8" borderId="8" xfId="1" applyFont="1" applyFill="1" applyBorder="1" applyProtection="1">
      <protection hidden="1"/>
    </xf>
    <xf numFmtId="0" fontId="18" fillId="0" borderId="7" xfId="0" applyFont="1" applyBorder="1" applyAlignment="1" applyProtection="1">
      <alignment horizontal="left"/>
      <protection hidden="1"/>
    </xf>
    <xf numFmtId="9" fontId="18" fillId="8" borderId="10" xfId="1" applyFont="1" applyFill="1" applyBorder="1" applyProtection="1">
      <protection hidden="1"/>
    </xf>
    <xf numFmtId="0" fontId="13" fillId="3" borderId="0" xfId="0" applyFont="1" applyFill="1"/>
    <xf numFmtId="0" fontId="13" fillId="10" borderId="5" xfId="0" applyFont="1" applyFill="1" applyBorder="1" applyProtection="1">
      <protection locked="0"/>
    </xf>
    <xf numFmtId="165" fontId="13" fillId="10" borderId="6" xfId="2" applyNumberFormat="1" applyFont="1" applyFill="1" applyBorder="1" applyProtection="1">
      <protection locked="0"/>
    </xf>
    <xf numFmtId="10" fontId="13" fillId="10" borderId="0" xfId="1" applyNumberFormat="1" applyFont="1" applyFill="1" applyBorder="1" applyProtection="1">
      <protection locked="0"/>
    </xf>
    <xf numFmtId="165" fontId="13" fillId="10" borderId="4" xfId="2" applyNumberFormat="1" applyFont="1" applyFill="1" applyBorder="1" applyProtection="1">
      <protection locked="0" hidden="1"/>
    </xf>
    <xf numFmtId="165" fontId="13" fillId="8" borderId="10" xfId="2" applyNumberFormat="1" applyFont="1" applyFill="1" applyBorder="1" applyProtection="1">
      <protection hidden="1"/>
    </xf>
    <xf numFmtId="164" fontId="13" fillId="0" borderId="0" xfId="2" applyNumberFormat="1" applyFont="1" applyFill="1"/>
    <xf numFmtId="10" fontId="13" fillId="0" borderId="0" xfId="1" applyNumberFormat="1" applyFont="1" applyFill="1"/>
    <xf numFmtId="0" fontId="31" fillId="0" borderId="0" xfId="0" applyFont="1"/>
    <xf numFmtId="165" fontId="13" fillId="0" borderId="0" xfId="0" applyNumberFormat="1" applyFont="1" applyProtection="1">
      <protection hidden="1"/>
    </xf>
    <xf numFmtId="165" fontId="18" fillId="0" borderId="0" xfId="0" applyNumberFormat="1" applyFont="1" applyProtection="1">
      <protection hidden="1"/>
    </xf>
    <xf numFmtId="165" fontId="13" fillId="8" borderId="0" xfId="0" applyNumberFormat="1" applyFont="1" applyFill="1" applyProtection="1">
      <protection hidden="1"/>
    </xf>
    <xf numFmtId="164" fontId="13" fillId="3" borderId="0" xfId="2" applyNumberFormat="1" applyFont="1" applyFill="1"/>
    <xf numFmtId="0" fontId="18" fillId="0" borderId="0" xfId="0" applyFont="1"/>
    <xf numFmtId="164" fontId="13" fillId="10" borderId="9" xfId="2" applyNumberFormat="1" applyFont="1" applyFill="1" applyBorder="1" applyProtection="1">
      <protection locked="0" hidden="1"/>
    </xf>
    <xf numFmtId="164" fontId="13" fillId="8" borderId="10" xfId="2" applyNumberFormat="1" applyFont="1" applyFill="1" applyBorder="1" applyProtection="1">
      <protection hidden="1"/>
    </xf>
    <xf numFmtId="10" fontId="13" fillId="0" borderId="0" xfId="1" applyNumberFormat="1" applyFont="1" applyFill="1" applyBorder="1" applyProtection="1">
      <protection locked="0"/>
    </xf>
    <xf numFmtId="0" fontId="17" fillId="6" borderId="9" xfId="0" applyFont="1" applyFill="1" applyBorder="1" applyAlignment="1">
      <alignment horizontal="center"/>
    </xf>
    <xf numFmtId="0" fontId="13" fillId="0" borderId="0" xfId="0" applyFont="1" applyProtection="1">
      <protection locked="0"/>
    </xf>
    <xf numFmtId="165" fontId="13" fillId="0" borderId="0" xfId="2" applyNumberFormat="1" applyFont="1" applyFill="1" applyBorder="1" applyProtection="1">
      <protection locked="0"/>
    </xf>
    <xf numFmtId="9" fontId="13" fillId="0" borderId="0" xfId="1" applyFont="1" applyFill="1" applyBorder="1"/>
    <xf numFmtId="164" fontId="13" fillId="0" borderId="0" xfId="2" applyNumberFormat="1" applyFont="1" applyFill="1" applyBorder="1" applyProtection="1">
      <protection locked="0"/>
    </xf>
    <xf numFmtId="9" fontId="13" fillId="0" borderId="0" xfId="1" applyFont="1" applyFill="1" applyBorder="1" applyProtection="1">
      <protection locked="0"/>
    </xf>
    <xf numFmtId="0" fontId="13" fillId="3" borderId="0" xfId="0" applyFont="1" applyFill="1" applyProtection="1">
      <protection hidden="1"/>
    </xf>
    <xf numFmtId="0" fontId="18" fillId="0" borderId="0" xfId="0" applyFont="1" applyProtection="1">
      <protection hidden="1"/>
    </xf>
    <xf numFmtId="164" fontId="18" fillId="0" borderId="0" xfId="0" applyNumberFormat="1" applyFont="1" applyProtection="1">
      <protection hidden="1"/>
    </xf>
    <xf numFmtId="9" fontId="17" fillId="6" borderId="0" xfId="1" applyFont="1" applyFill="1" applyBorder="1" applyAlignment="1">
      <alignment horizontal="center"/>
    </xf>
    <xf numFmtId="0" fontId="17" fillId="6" borderId="0" xfId="0" applyFont="1" applyFill="1" applyAlignment="1">
      <alignment horizontal="center"/>
    </xf>
    <xf numFmtId="0" fontId="13" fillId="10" borderId="0" xfId="0" applyFont="1" applyFill="1" applyProtection="1">
      <protection locked="0"/>
    </xf>
    <xf numFmtId="165" fontId="13" fillId="10" borderId="0" xfId="2" applyNumberFormat="1" applyFont="1" applyFill="1" applyBorder="1" applyProtection="1">
      <protection locked="0"/>
    </xf>
    <xf numFmtId="164" fontId="33" fillId="0" borderId="0" xfId="2" applyNumberFormat="1" applyFont="1" applyBorder="1"/>
    <xf numFmtId="0" fontId="13" fillId="0" borderId="0" xfId="0" applyFont="1" applyAlignment="1">
      <alignment horizontal="center"/>
    </xf>
    <xf numFmtId="9" fontId="19" fillId="5" borderId="3" xfId="1" applyFont="1" applyFill="1" applyBorder="1"/>
    <xf numFmtId="9" fontId="13" fillId="0" borderId="0" xfId="1" applyFont="1" applyProtection="1">
      <protection hidden="1"/>
    </xf>
    <xf numFmtId="10" fontId="13" fillId="0" borderId="0" xfId="1" applyNumberFormat="1" applyFont="1" applyFill="1" applyBorder="1" applyAlignment="1" applyProtection="1">
      <alignment horizontal="center" vertical="top" wrapText="1"/>
      <protection hidden="1"/>
    </xf>
    <xf numFmtId="165" fontId="13" fillId="0" borderId="5" xfId="0" applyNumberFormat="1" applyFont="1" applyBorder="1" applyAlignment="1" applyProtection="1">
      <alignment horizontal="left"/>
      <protection hidden="1"/>
    </xf>
    <xf numFmtId="165" fontId="18" fillId="0" borderId="7" xfId="0" applyNumberFormat="1" applyFont="1" applyBorder="1" applyAlignment="1" applyProtection="1">
      <alignment horizontal="left"/>
      <protection hidden="1"/>
    </xf>
    <xf numFmtId="9" fontId="13" fillId="0" borderId="0" xfId="0" applyNumberFormat="1" applyFont="1" applyProtection="1">
      <protection hidden="1"/>
    </xf>
    <xf numFmtId="9" fontId="13" fillId="0" borderId="0" xfId="1" applyFont="1" applyFill="1" applyProtection="1">
      <protection locked="0"/>
    </xf>
    <xf numFmtId="0" fontId="31" fillId="0" borderId="0" xfId="0" applyFont="1" applyAlignment="1" applyProtection="1">
      <alignment horizontal="right"/>
      <protection hidden="1"/>
    </xf>
    <xf numFmtId="0" fontId="3" fillId="11" borderId="0" xfId="0" applyFont="1" applyFill="1" applyAlignment="1" applyProtection="1">
      <alignment horizontal="center"/>
      <protection hidden="1"/>
    </xf>
    <xf numFmtId="9" fontId="0" fillId="11" borderId="0" xfId="1" applyFont="1" applyFill="1" applyAlignment="1" applyProtection="1">
      <alignment horizontal="center"/>
      <protection hidden="1"/>
    </xf>
    <xf numFmtId="165" fontId="21" fillId="0" borderId="0" xfId="3" applyNumberFormat="1" applyFont="1" applyProtection="1">
      <protection hidden="1"/>
    </xf>
    <xf numFmtId="0" fontId="28" fillId="0" borderId="0" xfId="0" applyFont="1"/>
    <xf numFmtId="0" fontId="3" fillId="0" borderId="3" xfId="0" applyFont="1" applyBorder="1" applyProtection="1">
      <protection hidden="1"/>
    </xf>
    <xf numFmtId="0" fontId="34" fillId="0" borderId="0" xfId="0" applyFont="1"/>
    <xf numFmtId="0" fontId="34" fillId="0" borderId="0" xfId="0" applyFont="1" applyProtection="1">
      <protection hidden="1"/>
    </xf>
    <xf numFmtId="9" fontId="15" fillId="4" borderId="9" xfId="1" applyFont="1" applyFill="1" applyBorder="1" applyProtection="1">
      <protection locked="0"/>
    </xf>
    <xf numFmtId="9" fontId="15" fillId="4" borderId="10" xfId="1" applyFont="1" applyFill="1" applyBorder="1" applyProtection="1">
      <protection locked="0"/>
    </xf>
    <xf numFmtId="165" fontId="15" fillId="4" borderId="9" xfId="0" applyNumberFormat="1" applyFont="1" applyFill="1" applyBorder="1" applyProtection="1">
      <protection locked="0"/>
    </xf>
    <xf numFmtId="165" fontId="15" fillId="4" borderId="9" xfId="0" applyNumberFormat="1" applyFont="1" applyFill="1" applyBorder="1" applyAlignment="1" applyProtection="1">
      <alignment vertical="center"/>
      <protection locked="0"/>
    </xf>
    <xf numFmtId="165" fontId="13" fillId="10" borderId="9" xfId="2" applyNumberFormat="1" applyFont="1" applyFill="1" applyBorder="1" applyProtection="1">
      <protection locked="0"/>
    </xf>
    <xf numFmtId="0" fontId="10" fillId="0" borderId="0" xfId="5" applyProtection="1">
      <protection hidden="1"/>
    </xf>
    <xf numFmtId="0" fontId="25" fillId="12" borderId="5" xfId="0" applyFont="1" applyFill="1" applyBorder="1" applyProtection="1">
      <protection locked="0"/>
    </xf>
    <xf numFmtId="165" fontId="25" fillId="12" borderId="6" xfId="2" applyNumberFormat="1" applyFont="1" applyFill="1" applyBorder="1" applyProtection="1">
      <protection locked="0"/>
    </xf>
    <xf numFmtId="0" fontId="14" fillId="0" borderId="0" xfId="0" applyFont="1" applyAlignment="1">
      <alignment horizontal="center" vertical="center" wrapText="1"/>
    </xf>
    <xf numFmtId="0" fontId="13" fillId="0" borderId="0" xfId="0" applyFont="1"/>
    <xf numFmtId="0" fontId="14" fillId="0" borderId="0" xfId="0" applyFont="1" applyAlignment="1" applyProtection="1">
      <alignment horizontal="center" vertical="top" wrapText="1"/>
      <protection hidden="1"/>
    </xf>
    <xf numFmtId="0" fontId="27" fillId="0" borderId="11" xfId="0" applyFont="1" applyBorder="1" applyAlignment="1">
      <alignment horizontal="center"/>
    </xf>
    <xf numFmtId="0" fontId="27" fillId="0" borderId="13" xfId="0" applyFont="1" applyBorder="1" applyAlignment="1">
      <alignment horizontal="center"/>
    </xf>
    <xf numFmtId="0" fontId="24" fillId="0" borderId="1" xfId="3" applyFont="1" applyBorder="1" applyAlignment="1" applyProtection="1">
      <alignment horizontal="center" wrapText="1"/>
      <protection hidden="1"/>
    </xf>
    <xf numFmtId="0" fontId="22" fillId="0" borderId="0" xfId="3" applyFont="1" applyAlignment="1" applyProtection="1">
      <alignment horizontal="center"/>
      <protection hidden="1"/>
    </xf>
    <xf numFmtId="0" fontId="23" fillId="0" borderId="0" xfId="3" applyFont="1" applyProtection="1">
      <protection hidden="1"/>
    </xf>
    <xf numFmtId="0" fontId="28" fillId="0" borderId="0" xfId="0" applyFont="1" applyAlignment="1">
      <alignment horizontal="center" vertical="center" wrapText="1"/>
    </xf>
    <xf numFmtId="0" fontId="28" fillId="0" borderId="0" xfId="0" applyFont="1"/>
    <xf numFmtId="0" fontId="31" fillId="0" borderId="0" xfId="0" applyFont="1" applyAlignment="1" applyProtection="1">
      <alignment horizontal="left" vertical="center" wrapText="1"/>
      <protection hidden="1"/>
    </xf>
    <xf numFmtId="0" fontId="31" fillId="0" borderId="0" xfId="0" applyFont="1" applyAlignment="1" applyProtection="1">
      <alignment horizontal="left" wrapText="1"/>
      <protection hidden="1"/>
    </xf>
    <xf numFmtId="0" fontId="18" fillId="0" borderId="0" xfId="0" applyFont="1" applyAlignment="1">
      <alignment horizontal="center"/>
    </xf>
    <xf numFmtId="0" fontId="8" fillId="0" borderId="0" xfId="0" applyFont="1" applyAlignment="1" applyProtection="1">
      <alignment horizontal="center"/>
      <protection hidden="1"/>
    </xf>
  </cellXfs>
  <cellStyles count="6">
    <cellStyle name="Comma" xfId="2" builtinId="3"/>
    <cellStyle name="Hyperlink" xfId="5" builtinId="8"/>
    <cellStyle name="Normal" xfId="0" builtinId="0"/>
    <cellStyle name="Normal 2" xfId="3" xr:uid="{BD2143CB-A99E-4B45-9184-CA39037A3885}"/>
    <cellStyle name="Normal 2 2" xfId="4" xr:uid="{500D2B5C-7E7D-8447-A1C4-9A115805A58D}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2EFD9"/>
      <color rgb="FFFCE4D6"/>
      <color rgb="FFFAF5E5"/>
      <color rgb="FFE2EFDA"/>
      <color rgb="FF619FDC"/>
      <color rgb="FF376AC6"/>
      <color rgb="FFF38137"/>
      <color rgb="FFA7A7A7"/>
      <color rgb="FFA5A5A5"/>
      <color rgb="FF71B3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Current Asset</a:t>
            </a:r>
            <a:r>
              <a:rPr lang="en-GB" baseline="0"/>
              <a:t> Allocation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71B34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E3E-2643-8ACD-EFE70F8034E5}"/>
              </c:ext>
            </c:extLst>
          </c:dPt>
          <c:dPt>
            <c:idx val="1"/>
            <c:bubble3D val="0"/>
            <c:spPr>
              <a:solidFill>
                <a:srgbClr val="376AC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E3E-2643-8ACD-EFE70F8034E5}"/>
              </c:ext>
            </c:extLst>
          </c:dPt>
          <c:dPt>
            <c:idx val="2"/>
            <c:bubble3D val="0"/>
            <c:spPr>
              <a:solidFill>
                <a:srgbClr val="F3813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E3E-2643-8ACD-EFE70F8034E5}"/>
              </c:ext>
            </c:extLst>
          </c:dPt>
          <c:dPt>
            <c:idx val="3"/>
            <c:bubble3D val="0"/>
            <c:spPr>
              <a:solidFill>
                <a:srgbClr val="A5A5A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E3E-2643-8ACD-EFE70F8034E5}"/>
              </c:ext>
            </c:extLst>
          </c:dPt>
          <c:dPt>
            <c:idx val="4"/>
            <c:bubble3D val="0"/>
            <c:spPr>
              <a:solidFill>
                <a:srgbClr val="FFC60C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E3E-2643-8ACD-EFE70F8034E5}"/>
              </c:ext>
            </c:extLst>
          </c:dPt>
          <c:dPt>
            <c:idx val="5"/>
            <c:bubble3D val="0"/>
            <c:spPr>
              <a:solidFill>
                <a:srgbClr val="619FDC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E3E-2643-8ACD-EFE70F8034E5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'Net worth'!$E$14:$E$19</c:f>
              <c:strCache>
                <c:ptCount val="6"/>
                <c:pt idx="0">
                  <c:v>Real Estate / Reits</c:v>
                </c:pt>
                <c:pt idx="1">
                  <c:v>Domestic Equity</c:v>
                </c:pt>
                <c:pt idx="2">
                  <c:v>US Equity</c:v>
                </c:pt>
                <c:pt idx="3">
                  <c:v>Debt</c:v>
                </c:pt>
                <c:pt idx="4">
                  <c:v>Gold</c:v>
                </c:pt>
                <c:pt idx="5">
                  <c:v>Crypto</c:v>
                </c:pt>
              </c:strCache>
            </c:strRef>
          </c:cat>
          <c:val>
            <c:numRef>
              <c:f>'Net worth'!$K$14:$K$19</c:f>
              <c:numCache>
                <c:formatCode>0%</c:formatCode>
                <c:ptCount val="6"/>
                <c:pt idx="0">
                  <c:v>0.82299333649728545</c:v>
                </c:pt>
                <c:pt idx="1">
                  <c:v>2.7220778935759884E-2</c:v>
                </c:pt>
                <c:pt idx="2">
                  <c:v>0</c:v>
                </c:pt>
                <c:pt idx="3">
                  <c:v>0.14076889524117819</c:v>
                </c:pt>
                <c:pt idx="4">
                  <c:v>4.9020226432899983E-3</c:v>
                </c:pt>
                <c:pt idx="5">
                  <c:v>4.1149666824864279E-3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B-4843-8657-0EFA11D9911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Required Asset Allocation</a:t>
            </a:r>
          </a:p>
        </c:rich>
      </c:tx>
      <c:layout>
        <c:manualLayout>
          <c:xMode val="edge"/>
          <c:yMode val="edge"/>
          <c:x val="0.16957657376599511"/>
          <c:y val="2.41137177341786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01A-CC40-96D9-D41CD16D6AD1}"/>
              </c:ext>
            </c:extLst>
          </c:dPt>
          <c:dPt>
            <c:idx val="1"/>
            <c:bubble3D val="0"/>
            <c:spPr>
              <a:solidFill>
                <a:srgbClr val="376AC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01A-CC40-96D9-D41CD16D6AD1}"/>
              </c:ext>
            </c:extLst>
          </c:dPt>
          <c:dPt>
            <c:idx val="2"/>
            <c:bubble3D val="0"/>
            <c:spPr>
              <a:solidFill>
                <a:srgbClr val="F3813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01A-CC40-96D9-D41CD16D6AD1}"/>
              </c:ext>
            </c:extLst>
          </c:dPt>
          <c:dPt>
            <c:idx val="3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01A-CC40-96D9-D41CD16D6AD1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01A-CC40-96D9-D41CD16D6AD1}"/>
              </c:ext>
            </c:extLst>
          </c:dPt>
          <c:dPt>
            <c:idx val="5"/>
            <c:bubble3D val="0"/>
            <c:spPr>
              <a:solidFill>
                <a:srgbClr val="619FDC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01A-CC40-96D9-D41CD16D6AD1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'Net worth'!$M$14:$M$19</c:f>
              <c:strCache>
                <c:ptCount val="6"/>
                <c:pt idx="0">
                  <c:v>Real Estate / REITs</c:v>
                </c:pt>
                <c:pt idx="1">
                  <c:v>Domestic Equity</c:v>
                </c:pt>
                <c:pt idx="2">
                  <c:v>US equity</c:v>
                </c:pt>
                <c:pt idx="3">
                  <c:v>Debt</c:v>
                </c:pt>
                <c:pt idx="4">
                  <c:v>Gold (SGB / ETF)</c:v>
                </c:pt>
                <c:pt idx="5">
                  <c:v>Crypto</c:v>
                </c:pt>
              </c:strCache>
            </c:strRef>
          </c:cat>
          <c:val>
            <c:numRef>
              <c:f>'Net worth'!$O$14:$O$19</c:f>
              <c:numCache>
                <c:formatCode>0%</c:formatCode>
                <c:ptCount val="6"/>
                <c:pt idx="0">
                  <c:v>2.350789404300746E-2</c:v>
                </c:pt>
                <c:pt idx="1">
                  <c:v>0.28209472851608952</c:v>
                </c:pt>
                <c:pt idx="2">
                  <c:v>4.701578808601492E-2</c:v>
                </c:pt>
                <c:pt idx="3">
                  <c:v>0.60036580126887318</c:v>
                </c:pt>
                <c:pt idx="4">
                  <c:v>2.350789404300746E-2</c:v>
                </c:pt>
                <c:pt idx="5">
                  <c:v>2.350789404300746E-2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1A-CC40-96D9-D41CD16D6AD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400"/>
              <a:t>Direct stock Portfolio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649-E641-AD29-1914A89A3DB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649-E641-AD29-1914A89A3DB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649-E641-AD29-1914A89A3DB3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'Domestic Equity'!$B$21:$B$23</c:f>
              <c:strCache>
                <c:ptCount val="3"/>
                <c:pt idx="0">
                  <c:v>Largecap</c:v>
                </c:pt>
                <c:pt idx="1">
                  <c:v>Midcap</c:v>
                </c:pt>
                <c:pt idx="2">
                  <c:v>Smallcap</c:v>
                </c:pt>
              </c:strCache>
            </c:strRef>
          </c:cat>
          <c:val>
            <c:numRef>
              <c:f>'Domestic Equity'!$D$21:$D$23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2C9-AD4B-B56D-AE2104FD8379}"/>
            </c:ext>
          </c:extLst>
        </c:ser>
        <c:ser>
          <c:idx val="3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42C9-AD4B-B56D-AE2104FD837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42C9-AD4B-B56D-AE2104FD837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42C9-AD4B-B56D-AE2104FD83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'Domestic Equity'!$B$21:$B$23</c:f>
              <c:strCache>
                <c:ptCount val="3"/>
                <c:pt idx="0">
                  <c:v>Largecap</c:v>
                </c:pt>
                <c:pt idx="1">
                  <c:v>Midcap</c:v>
                </c:pt>
                <c:pt idx="2">
                  <c:v>Smallcap</c:v>
                </c:pt>
              </c:strCache>
            </c:strRef>
          </c:cat>
          <c:val>
            <c:numRef>
              <c:f>'Domestic Equity'!$D$21:$D$23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42C9-AD4B-B56D-AE2104FD8379}"/>
            </c:ext>
          </c:extLst>
        </c:ser>
        <c:ser>
          <c:idx val="1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42C9-AD4B-B56D-AE2104FD837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42C9-AD4B-B56D-AE2104FD837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42C9-AD4B-B56D-AE2104FD83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'Domestic Equity'!$B$21:$B$23</c:f>
              <c:strCache>
                <c:ptCount val="3"/>
                <c:pt idx="0">
                  <c:v>Largecap</c:v>
                </c:pt>
                <c:pt idx="1">
                  <c:v>Midcap</c:v>
                </c:pt>
                <c:pt idx="2">
                  <c:v>Smallcap</c:v>
                </c:pt>
              </c:strCache>
            </c:strRef>
          </c:cat>
          <c:val>
            <c:numRef>
              <c:f>'Domestic Equity'!$D$21:$D$23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2C9-AD4B-B56D-AE2104FD8379}"/>
            </c:ext>
          </c:extLst>
        </c:ser>
        <c:ser>
          <c:idx val="0"/>
          <c:order val="3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42C9-AD4B-B56D-AE2104FD837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42C9-AD4B-B56D-AE2104FD837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42C9-AD4B-B56D-AE2104FD83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'Domestic Equity'!$B$21:$B$23</c:f>
              <c:strCache>
                <c:ptCount val="3"/>
                <c:pt idx="0">
                  <c:v>Largecap</c:v>
                </c:pt>
                <c:pt idx="1">
                  <c:v>Midcap</c:v>
                </c:pt>
                <c:pt idx="2">
                  <c:v>Smallcap</c:v>
                </c:pt>
              </c:strCache>
            </c:strRef>
          </c:cat>
          <c:val>
            <c:numRef>
              <c:f>'Domestic Equity'!$D$21:$D$23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42C9-AD4B-B56D-AE2104FD83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400"/>
              <a:t>Mutual funds Portfolio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90-5040-B10A-30E177BB47E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90-5040-B10A-30E177BB47E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990-5040-B10A-30E177BB47E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AC6-CC41-ADFC-268E94EF847E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'Domestic Equity'!$F$21:$F$24</c:f>
              <c:strCache>
                <c:ptCount val="4"/>
                <c:pt idx="0">
                  <c:v>Largecap</c:v>
                </c:pt>
                <c:pt idx="1">
                  <c:v>Midcap</c:v>
                </c:pt>
                <c:pt idx="2">
                  <c:v>Smallcap</c:v>
                </c:pt>
                <c:pt idx="3">
                  <c:v>Flexi/Multi cap</c:v>
                </c:pt>
              </c:strCache>
            </c:strRef>
          </c:cat>
          <c:val>
            <c:numRef>
              <c:f>'Domestic Equity'!$H$21:$H$24</c:f>
              <c:numCache>
                <c:formatCode>0%</c:formatCode>
                <c:ptCount val="4"/>
                <c:pt idx="0">
                  <c:v>0</c:v>
                </c:pt>
                <c:pt idx="1">
                  <c:v>0.36808900892911134</c:v>
                </c:pt>
                <c:pt idx="2">
                  <c:v>0</c:v>
                </c:pt>
                <c:pt idx="3">
                  <c:v>0.63191099107088866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90-5040-B10A-30E177BB47EF}"/>
            </c:ext>
          </c:extLst>
        </c:ser>
        <c:ser>
          <c:idx val="3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7990-5040-B10A-30E177BB47E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7990-5040-B10A-30E177BB47E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7990-5040-B10A-30E177BB47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'Domestic Equity'!$F$21:$F$24</c:f>
              <c:strCache>
                <c:ptCount val="4"/>
                <c:pt idx="0">
                  <c:v>Largecap</c:v>
                </c:pt>
                <c:pt idx="1">
                  <c:v>Midcap</c:v>
                </c:pt>
                <c:pt idx="2">
                  <c:v>Smallcap</c:v>
                </c:pt>
                <c:pt idx="3">
                  <c:v>Flexi/Multi cap</c:v>
                </c:pt>
              </c:strCache>
            </c:strRef>
          </c:cat>
          <c:val>
            <c:numRef>
              <c:f>'Domestic Equity'!$D$21:$D$23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990-5040-B10A-30E177BB47EF}"/>
            </c:ext>
          </c:extLst>
        </c:ser>
        <c:ser>
          <c:idx val="1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990-5040-B10A-30E177BB47E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990-5040-B10A-30E177BB47E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990-5040-B10A-30E177BB47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'Domestic Equity'!$F$21:$F$24</c:f>
              <c:strCache>
                <c:ptCount val="4"/>
                <c:pt idx="0">
                  <c:v>Largecap</c:v>
                </c:pt>
                <c:pt idx="1">
                  <c:v>Midcap</c:v>
                </c:pt>
                <c:pt idx="2">
                  <c:v>Smallcap</c:v>
                </c:pt>
                <c:pt idx="3">
                  <c:v>Flexi/Multi cap</c:v>
                </c:pt>
              </c:strCache>
            </c:strRef>
          </c:cat>
          <c:val>
            <c:numRef>
              <c:f>'Domestic Equity'!$D$21:$D$23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990-5040-B10A-30E177BB47EF}"/>
            </c:ext>
          </c:extLst>
        </c:ser>
        <c:ser>
          <c:idx val="0"/>
          <c:order val="3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7990-5040-B10A-30E177BB47E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7990-5040-B10A-30E177BB47E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7990-5040-B10A-30E177BB47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'Domestic Equity'!$F$21:$F$24</c:f>
              <c:strCache>
                <c:ptCount val="4"/>
                <c:pt idx="0">
                  <c:v>Largecap</c:v>
                </c:pt>
                <c:pt idx="1">
                  <c:v>Midcap</c:v>
                </c:pt>
                <c:pt idx="2">
                  <c:v>Smallcap</c:v>
                </c:pt>
                <c:pt idx="3">
                  <c:v>Flexi/Multi cap</c:v>
                </c:pt>
              </c:strCache>
            </c:strRef>
          </c:cat>
          <c:val>
            <c:numRef>
              <c:f>'Domestic Equity'!$D$21:$D$23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7990-5040-B10A-30E177BB47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SIP allocator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C4D-4520-8F45-76A3F9E3804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C4D-4520-8F45-76A3F9E3804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C4D-4520-8F45-76A3F9E3804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C4D-4520-8F45-76A3F9E380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'Domestic Equity'!$K$21:$K$24</c:f>
              <c:strCache>
                <c:ptCount val="4"/>
                <c:pt idx="0">
                  <c:v>Largecap</c:v>
                </c:pt>
                <c:pt idx="1">
                  <c:v>Midcap</c:v>
                </c:pt>
                <c:pt idx="2">
                  <c:v>Smallcap</c:v>
                </c:pt>
                <c:pt idx="3">
                  <c:v>Flexi/Multi cap</c:v>
                </c:pt>
              </c:strCache>
            </c:strRef>
          </c:cat>
          <c:val>
            <c:numRef>
              <c:f>'Domestic Equity'!$M$21:$M$24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E8-4FCA-A596-D9C2E4B2F1C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238-4127-98E3-2407027189C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238-4127-98E3-2407027189C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238-4127-98E3-2407027189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Debt!$O$12:$O$14</c:f>
              <c:strCache>
                <c:ptCount val="3"/>
                <c:pt idx="0">
                  <c:v>FD/RD/Arbitrage</c:v>
                </c:pt>
                <c:pt idx="1">
                  <c:v>Banking PSUs/Corporate funds</c:v>
                </c:pt>
                <c:pt idx="2">
                  <c:v>Government securities/Equity Saver funds</c:v>
                </c:pt>
              </c:strCache>
            </c:strRef>
          </c:cat>
          <c:val>
            <c:numRef>
              <c:f>Debt!$Q$12:$Q$14</c:f>
              <c:numCache>
                <c:formatCode>0%</c:formatCode>
                <c:ptCount val="3"/>
                <c:pt idx="0">
                  <c:v>0.91228070175438591</c:v>
                </c:pt>
                <c:pt idx="1">
                  <c:v>0</c:v>
                </c:pt>
                <c:pt idx="2">
                  <c:v>8.771929824561403E-2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D-488C-AC04-C0F24B76EEF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737473011154322"/>
          <c:y val="0.18209584912996987"/>
          <c:w val="0.34309719828552759"/>
          <c:h val="0.783956449888208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1074420</xdr:colOff>
      <xdr:row>0</xdr:row>
      <xdr:rowOff>30480</xdr:rowOff>
    </xdr:from>
    <xdr:ext cx="914400" cy="895350"/>
    <xdr:pic>
      <xdr:nvPicPr>
        <xdr:cNvPr id="4" name="image1.png">
          <a:extLst>
            <a:ext uri="{FF2B5EF4-FFF2-40B4-BE49-F238E27FC236}">
              <a16:creationId xmlns:a16="http://schemas.microsoft.com/office/drawing/2014/main" id="{733F2A98-FBD2-42F2-B9D6-9C88312E303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87780" y="152400"/>
          <a:ext cx="914400" cy="8953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1043940</xdr:colOff>
      <xdr:row>0</xdr:row>
      <xdr:rowOff>91440</xdr:rowOff>
    </xdr:from>
    <xdr:ext cx="914400" cy="895350"/>
    <xdr:pic>
      <xdr:nvPicPr>
        <xdr:cNvPr id="3" name="image1.png">
          <a:extLst>
            <a:ext uri="{FF2B5EF4-FFF2-40B4-BE49-F238E27FC236}">
              <a16:creationId xmlns:a16="http://schemas.microsoft.com/office/drawing/2014/main" id="{AC405909-CBD8-4B81-A84C-4F18047A66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0180" y="91440"/>
          <a:ext cx="914400" cy="8953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865872</xdr:colOff>
      <xdr:row>23</xdr:row>
      <xdr:rowOff>66358</xdr:rowOff>
    </xdr:from>
    <xdr:to>
      <xdr:col>11</xdr:col>
      <xdr:colOff>97888</xdr:colOff>
      <xdr:row>37</xdr:row>
      <xdr:rowOff>181814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911050-176B-1190-03E5-91D7B0E2AB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 editAs="absolute">
    <xdr:from>
      <xdr:col>12</xdr:col>
      <xdr:colOff>68596</xdr:colOff>
      <xdr:row>23</xdr:row>
      <xdr:rowOff>27939</xdr:rowOff>
    </xdr:from>
    <xdr:to>
      <xdr:col>15</xdr:col>
      <xdr:colOff>16087</xdr:colOff>
      <xdr:row>37</xdr:row>
      <xdr:rowOff>124142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4C3051-0C1F-D74C-BEF5-1D83379C4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oneCellAnchor>
    <xdr:from>
      <xdr:col>5</xdr:col>
      <xdr:colOff>68580</xdr:colOff>
      <xdr:row>0</xdr:row>
      <xdr:rowOff>182880</xdr:rowOff>
    </xdr:from>
    <xdr:ext cx="914400" cy="895350"/>
    <xdr:pic>
      <xdr:nvPicPr>
        <xdr:cNvPr id="2" name="image1.png">
          <a:extLst>
            <a:ext uri="{FF2B5EF4-FFF2-40B4-BE49-F238E27FC236}">
              <a16:creationId xmlns:a16="http://schemas.microsoft.com/office/drawing/2014/main" id="{EA685C68-2A7E-4E7C-A9B4-BCD04D4F2874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95160" y="182880"/>
          <a:ext cx="914400" cy="89535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990600</xdr:colOff>
      <xdr:row>0</xdr:row>
      <xdr:rowOff>0</xdr:rowOff>
    </xdr:from>
    <xdr:ext cx="650240" cy="619760"/>
    <xdr:pic>
      <xdr:nvPicPr>
        <xdr:cNvPr id="3" name="image1.png">
          <a:extLst>
            <a:ext uri="{FF2B5EF4-FFF2-40B4-BE49-F238E27FC236}">
              <a16:creationId xmlns:a16="http://schemas.microsoft.com/office/drawing/2014/main" id="{78E6AF2D-C3F2-4BB1-8733-8F4A584E75C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68582" y="0"/>
          <a:ext cx="650240" cy="61976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1033404</xdr:colOff>
      <xdr:row>7</xdr:row>
      <xdr:rowOff>17585</xdr:rowOff>
    </xdr:from>
    <xdr:to>
      <xdr:col>3</xdr:col>
      <xdr:colOff>285424</xdr:colOff>
      <xdr:row>18</xdr:row>
      <xdr:rowOff>2768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FCE3AA-BCC1-E0CD-6F41-0C21810661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 editAs="absolute">
    <xdr:from>
      <xdr:col>5</xdr:col>
      <xdr:colOff>853586</xdr:colOff>
      <xdr:row>6</xdr:row>
      <xdr:rowOff>193777</xdr:rowOff>
    </xdr:from>
    <xdr:to>
      <xdr:col>7</xdr:col>
      <xdr:colOff>683846</xdr:colOff>
      <xdr:row>18</xdr:row>
      <xdr:rowOff>18297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097414C-26B1-9245-AB61-AD54DC1E5B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oneCellAnchor>
    <xdr:from>
      <xdr:col>5</xdr:col>
      <xdr:colOff>1863102</xdr:colOff>
      <xdr:row>1</xdr:row>
      <xdr:rowOff>26467</xdr:rowOff>
    </xdr:from>
    <xdr:ext cx="1287021" cy="1191161"/>
    <xdr:pic>
      <xdr:nvPicPr>
        <xdr:cNvPr id="3" name="image1.png">
          <a:extLst>
            <a:ext uri="{FF2B5EF4-FFF2-40B4-BE49-F238E27FC236}">
              <a16:creationId xmlns:a16="http://schemas.microsoft.com/office/drawing/2014/main" id="{9D68E6E3-9E9B-4328-AFB9-CF5B7ED10088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179061" y="222859"/>
          <a:ext cx="1287021" cy="1191161"/>
        </a:xfrm>
        <a:prstGeom prst="rect">
          <a:avLst/>
        </a:prstGeom>
        <a:noFill/>
      </xdr:spPr>
    </xdr:pic>
    <xdr:clientData fLocksWithSheet="0"/>
  </xdr:oneCellAnchor>
  <xdr:twoCellAnchor>
    <xdr:from>
      <xdr:col>10</xdr:col>
      <xdr:colOff>520110</xdr:colOff>
      <xdr:row>6</xdr:row>
      <xdr:rowOff>185001</xdr:rowOff>
    </xdr:from>
    <xdr:to>
      <xdr:col>11</xdr:col>
      <xdr:colOff>1609757</xdr:colOff>
      <xdr:row>18</xdr:row>
      <xdr:rowOff>121501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025C78-E26E-111E-F477-475008160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976312</xdr:colOff>
      <xdr:row>0</xdr:row>
      <xdr:rowOff>71438</xdr:rowOff>
    </xdr:from>
    <xdr:ext cx="650240" cy="619760"/>
    <xdr:pic>
      <xdr:nvPicPr>
        <xdr:cNvPr id="3" name="image1.png">
          <a:extLst>
            <a:ext uri="{FF2B5EF4-FFF2-40B4-BE49-F238E27FC236}">
              <a16:creationId xmlns:a16="http://schemas.microsoft.com/office/drawing/2014/main" id="{EB566F1D-FCBF-42FC-A847-1EE850B527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7325" y="71438"/>
          <a:ext cx="650240" cy="61976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1317172</xdr:colOff>
      <xdr:row>0</xdr:row>
      <xdr:rowOff>185057</xdr:rowOff>
    </xdr:from>
    <xdr:ext cx="650240" cy="619760"/>
    <xdr:pic>
      <xdr:nvPicPr>
        <xdr:cNvPr id="3" name="image1.png">
          <a:extLst>
            <a:ext uri="{FF2B5EF4-FFF2-40B4-BE49-F238E27FC236}">
              <a16:creationId xmlns:a16="http://schemas.microsoft.com/office/drawing/2014/main" id="{07EE47B8-F2B3-4E7B-A06E-BF4F31FD259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50086" y="185057"/>
          <a:ext cx="650240" cy="619760"/>
        </a:xfrm>
        <a:prstGeom prst="rect">
          <a:avLst/>
        </a:prstGeom>
        <a:noFill/>
      </xdr:spPr>
    </xdr:pic>
    <xdr:clientData fLocksWithSheet="0"/>
  </xdr:oneCellAnchor>
  <xdr:twoCellAnchor>
    <xdr:from>
      <xdr:col>14</xdr:col>
      <xdr:colOff>2593975</xdr:colOff>
      <xdr:row>2</xdr:row>
      <xdr:rowOff>0</xdr:rowOff>
    </xdr:from>
    <xdr:to>
      <xdr:col>17</xdr:col>
      <xdr:colOff>25400</xdr:colOff>
      <xdr:row>9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136BCD-474C-0490-417F-80CA58183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1102360</xdr:colOff>
      <xdr:row>0</xdr:row>
      <xdr:rowOff>0</xdr:rowOff>
    </xdr:from>
    <xdr:ext cx="650240" cy="619760"/>
    <xdr:pic>
      <xdr:nvPicPr>
        <xdr:cNvPr id="3" name="image1.png">
          <a:extLst>
            <a:ext uri="{FF2B5EF4-FFF2-40B4-BE49-F238E27FC236}">
              <a16:creationId xmlns:a16="http://schemas.microsoft.com/office/drawing/2014/main" id="{836427E0-71D5-433A-8DD5-60DCA6B55D2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7800" y="0"/>
          <a:ext cx="650240" cy="61976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804862</xdr:colOff>
      <xdr:row>1</xdr:row>
      <xdr:rowOff>35560</xdr:rowOff>
    </xdr:from>
    <xdr:ext cx="802958" cy="734060"/>
    <xdr:pic>
      <xdr:nvPicPr>
        <xdr:cNvPr id="2" name="image1.png">
          <a:extLst>
            <a:ext uri="{FF2B5EF4-FFF2-40B4-BE49-F238E27FC236}">
              <a16:creationId xmlns:a16="http://schemas.microsoft.com/office/drawing/2014/main" id="{B317480B-5BDA-4AF6-BC65-48B460CED7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84922" y="233680"/>
          <a:ext cx="802958" cy="73406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1020762</xdr:colOff>
      <xdr:row>0</xdr:row>
      <xdr:rowOff>76200</xdr:rowOff>
    </xdr:from>
    <xdr:ext cx="914400" cy="895350"/>
    <xdr:pic>
      <xdr:nvPicPr>
        <xdr:cNvPr id="2" name="image1.png">
          <a:extLst>
            <a:ext uri="{FF2B5EF4-FFF2-40B4-BE49-F238E27FC236}">
              <a16:creationId xmlns:a16="http://schemas.microsoft.com/office/drawing/2014/main" id="{C2211705-3F0E-4C55-84AC-70702CAE497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03362" y="76200"/>
          <a:ext cx="914400" cy="895350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8373</xdr:colOff>
      <xdr:row>0</xdr:row>
      <xdr:rowOff>0</xdr:rowOff>
    </xdr:from>
    <xdr:ext cx="914400" cy="895350"/>
    <xdr:pic>
      <xdr:nvPicPr>
        <xdr:cNvPr id="2" name="image1.png">
          <a:extLst>
            <a:ext uri="{FF2B5EF4-FFF2-40B4-BE49-F238E27FC236}">
              <a16:creationId xmlns:a16="http://schemas.microsoft.com/office/drawing/2014/main" id="{624A975B-5C22-4FFB-8E76-C5F2DC5F10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98571" y="0"/>
          <a:ext cx="914400" cy="895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premium.capitalmind.in/2024/09/best-reit-india-2024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B0CC-4A50-FB4E-A838-D592362B1E79}">
  <dimension ref="B6:F20"/>
  <sheetViews>
    <sheetView showGridLines="0" zoomScale="120" zoomScaleNormal="120" workbookViewId="0">
      <selection activeCell="D18" sqref="D18"/>
    </sheetView>
  </sheetViews>
  <sheetFormatPr defaultColWidth="11.25" defaultRowHeight="15.75" x14ac:dyDescent="0.25"/>
  <cols>
    <col min="1" max="1" width="4.25" style="6" customWidth="1"/>
    <col min="2" max="2" width="28" style="6" bestFit="1" customWidth="1"/>
    <col min="3" max="3" width="19.75" style="6" customWidth="1"/>
    <col min="4" max="4" width="18.25" style="6" customWidth="1"/>
    <col min="5" max="5" width="18" style="6" customWidth="1"/>
    <col min="6" max="6" width="16.25" style="6" customWidth="1"/>
    <col min="7" max="7" width="17.25" style="6" bestFit="1" customWidth="1"/>
    <col min="8" max="8" width="14.75" style="6" customWidth="1"/>
    <col min="9" max="9" width="17.25" style="6" customWidth="1"/>
    <col min="10" max="16384" width="11.25" style="6"/>
  </cols>
  <sheetData>
    <row r="6" spans="2:6" ht="15.4" customHeight="1" x14ac:dyDescent="0.25">
      <c r="C6" s="170" t="s">
        <v>103</v>
      </c>
      <c r="D6" s="171"/>
      <c r="F6" s="2"/>
    </row>
    <row r="7" spans="2:6" ht="15.4" customHeight="1" x14ac:dyDescent="0.25">
      <c r="C7" s="171"/>
      <c r="D7" s="171"/>
      <c r="F7" s="2"/>
    </row>
    <row r="8" spans="2:6" ht="16.899999999999999" customHeight="1" x14ac:dyDescent="0.25">
      <c r="C8" s="171"/>
      <c r="D8" s="171"/>
      <c r="F8" s="2"/>
    </row>
    <row r="9" spans="2:6" ht="16.899999999999999" customHeight="1" x14ac:dyDescent="0.25">
      <c r="C9" s="19"/>
      <c r="D9" s="19"/>
      <c r="F9" s="2"/>
    </row>
    <row r="10" spans="2:6" ht="18" customHeight="1" x14ac:dyDescent="0.25">
      <c r="B10" s="20"/>
      <c r="C10" s="21" t="s">
        <v>104</v>
      </c>
    </row>
    <row r="11" spans="2:6" ht="18" customHeight="1" x14ac:dyDescent="0.25">
      <c r="B11" s="22"/>
      <c r="C11" s="21" t="s">
        <v>105</v>
      </c>
      <c r="E11" s="7"/>
      <c r="F11" s="7"/>
    </row>
    <row r="12" spans="2:6" x14ac:dyDescent="0.25">
      <c r="D12" s="8" t="s">
        <v>51</v>
      </c>
      <c r="E12" s="8" t="s">
        <v>58</v>
      </c>
      <c r="F12" s="8" t="s">
        <v>57</v>
      </c>
    </row>
    <row r="13" spans="2:6" x14ac:dyDescent="0.25">
      <c r="B13" s="23" t="s">
        <v>3</v>
      </c>
      <c r="C13" s="23" t="s">
        <v>4</v>
      </c>
      <c r="D13" s="24" t="s">
        <v>59</v>
      </c>
      <c r="E13" s="24" t="s">
        <v>60</v>
      </c>
      <c r="F13" s="24" t="s">
        <v>61</v>
      </c>
    </row>
    <row r="14" spans="2:6" x14ac:dyDescent="0.25">
      <c r="B14" s="25" t="s">
        <v>5</v>
      </c>
      <c r="C14" s="162">
        <v>0.12</v>
      </c>
      <c r="D14" s="162">
        <v>0</v>
      </c>
      <c r="E14" s="162">
        <v>0.4</v>
      </c>
      <c r="F14" s="162">
        <v>0.6</v>
      </c>
    </row>
    <row r="15" spans="2:6" x14ac:dyDescent="0.25">
      <c r="B15" s="25" t="s">
        <v>41</v>
      </c>
      <c r="C15" s="162">
        <v>0.12</v>
      </c>
      <c r="D15" s="162">
        <v>0</v>
      </c>
      <c r="E15" s="162">
        <v>0</v>
      </c>
      <c r="F15" s="162">
        <v>0.1</v>
      </c>
    </row>
    <row r="16" spans="2:6" x14ac:dyDescent="0.25">
      <c r="B16" s="25" t="s">
        <v>0</v>
      </c>
      <c r="C16" s="162">
        <v>0.06</v>
      </c>
      <c r="D16" s="162">
        <v>1</v>
      </c>
      <c r="E16" s="162">
        <v>0.5</v>
      </c>
      <c r="F16" s="162">
        <v>0.15</v>
      </c>
    </row>
    <row r="17" spans="2:6" x14ac:dyDescent="0.25">
      <c r="B17" s="25" t="s">
        <v>56</v>
      </c>
      <c r="C17" s="162">
        <v>0.06</v>
      </c>
      <c r="D17" s="162">
        <v>0</v>
      </c>
      <c r="E17" s="162">
        <v>0.1</v>
      </c>
      <c r="F17" s="162">
        <v>0.05</v>
      </c>
    </row>
    <row r="18" spans="2:6" x14ac:dyDescent="0.25">
      <c r="B18" s="25" t="s">
        <v>1</v>
      </c>
      <c r="C18" s="162">
        <v>0.2</v>
      </c>
      <c r="D18" s="162">
        <v>0</v>
      </c>
      <c r="E18" s="162">
        <v>0</v>
      </c>
      <c r="F18" s="162">
        <v>0.05</v>
      </c>
    </row>
    <row r="19" spans="2:6" x14ac:dyDescent="0.25">
      <c r="B19" s="25" t="s">
        <v>2</v>
      </c>
      <c r="C19" s="163">
        <v>0.1</v>
      </c>
      <c r="D19" s="163">
        <v>0</v>
      </c>
      <c r="E19" s="163">
        <v>0</v>
      </c>
      <c r="F19" s="163">
        <v>0.05</v>
      </c>
    </row>
    <row r="20" spans="2:6" x14ac:dyDescent="0.25">
      <c r="B20" s="27" t="s">
        <v>6</v>
      </c>
      <c r="C20" s="28"/>
      <c r="D20" s="147">
        <f>SUMPRODUCT($C$14:$C$19,D14:D19)</f>
        <v>0.06</v>
      </c>
      <c r="E20" s="147">
        <f>SUMPRODUCT(E14:E19,$C$14:$C$19)*0.4+D20*0.6</f>
        <v>6.9599999999999995E-2</v>
      </c>
      <c r="F20" s="147">
        <f>SUMPRODUCT(F14:F19,C14:C19)</f>
        <v>0.11099999999999999</v>
      </c>
    </row>
  </sheetData>
  <sheetProtection algorithmName="SHA-512" hashValue="NmMbWTowa4NlARKTLikJIIHReQxyJmPTzaL0CB7kZOJxbazGf/qOOmgWu9463W4pnbqYRq6gMBwVMWy+x9EqIQ==" saltValue="gKEr3zWf2N4U7yt3HUtSpA==" spinCount="100000" sheet="1" objects="1" scenarios="1"/>
  <mergeCells count="1">
    <mergeCell ref="C6:D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2FD8A-0242-0944-8280-09E84BB9B1FD}">
  <dimension ref="B6:C27"/>
  <sheetViews>
    <sheetView showGridLines="0" topLeftCell="A4" zoomScale="120" zoomScaleNormal="120" workbookViewId="0">
      <selection activeCell="B35" sqref="B35"/>
    </sheetView>
  </sheetViews>
  <sheetFormatPr defaultColWidth="11.25" defaultRowHeight="15.75" x14ac:dyDescent="0.25"/>
  <cols>
    <col min="1" max="1" width="5.25" style="6" customWidth="1"/>
    <col min="2" max="2" width="28" style="6" bestFit="1" customWidth="1"/>
    <col min="3" max="3" width="12.25" style="6" bestFit="1" customWidth="1"/>
    <col min="4" max="16384" width="11.25" style="6"/>
  </cols>
  <sheetData>
    <row r="6" spans="2:3" x14ac:dyDescent="0.25">
      <c r="B6" s="170" t="s">
        <v>103</v>
      </c>
      <c r="C6" s="171"/>
    </row>
    <row r="7" spans="2:3" x14ac:dyDescent="0.25">
      <c r="B7" s="171"/>
      <c r="C7" s="171"/>
    </row>
    <row r="8" spans="2:3" x14ac:dyDescent="0.25">
      <c r="B8" s="171"/>
      <c r="C8" s="171"/>
    </row>
    <row r="9" spans="2:3" x14ac:dyDescent="0.25">
      <c r="B9" s="20"/>
      <c r="C9" s="21" t="s">
        <v>104</v>
      </c>
    </row>
    <row r="10" spans="2:3" ht="18" customHeight="1" x14ac:dyDescent="0.25">
      <c r="B10" s="22"/>
      <c r="C10" s="21" t="s">
        <v>105</v>
      </c>
    </row>
    <row r="12" spans="2:3" x14ac:dyDescent="0.25">
      <c r="B12" s="23" t="s">
        <v>21</v>
      </c>
      <c r="C12" s="24" t="s">
        <v>10</v>
      </c>
    </row>
    <row r="13" spans="2:3" x14ac:dyDescent="0.25">
      <c r="B13" s="25" t="s">
        <v>29</v>
      </c>
      <c r="C13" s="164">
        <v>175000</v>
      </c>
    </row>
    <row r="14" spans="2:3" x14ac:dyDescent="0.25">
      <c r="B14" s="25" t="s">
        <v>22</v>
      </c>
      <c r="C14" s="164">
        <v>10000</v>
      </c>
    </row>
    <row r="15" spans="2:3" x14ac:dyDescent="0.25">
      <c r="B15" s="25" t="s">
        <v>23</v>
      </c>
      <c r="C15" s="164"/>
    </row>
    <row r="16" spans="2:3" x14ac:dyDescent="0.25">
      <c r="B16" s="25" t="s">
        <v>24</v>
      </c>
      <c r="C16" s="164">
        <v>1000</v>
      </c>
    </row>
    <row r="17" spans="2:3" x14ac:dyDescent="0.25">
      <c r="B17" s="26" t="s">
        <v>25</v>
      </c>
      <c r="C17" s="31">
        <f>SUM(C13:C16)</f>
        <v>186000</v>
      </c>
    </row>
    <row r="19" spans="2:3" x14ac:dyDescent="0.25">
      <c r="B19" s="23" t="s">
        <v>27</v>
      </c>
      <c r="C19" s="24" t="s">
        <v>10</v>
      </c>
    </row>
    <row r="20" spans="2:3" x14ac:dyDescent="0.25">
      <c r="B20" s="25" t="s">
        <v>26</v>
      </c>
      <c r="C20" s="164">
        <v>53000</v>
      </c>
    </row>
    <row r="21" spans="2:3" ht="31.5" x14ac:dyDescent="0.25">
      <c r="B21" s="32" t="s">
        <v>54</v>
      </c>
      <c r="C21" s="165">
        <v>36500</v>
      </c>
    </row>
    <row r="22" spans="2:3" x14ac:dyDescent="0.25">
      <c r="B22" s="25" t="s">
        <v>53</v>
      </c>
      <c r="C22" s="164">
        <v>46000</v>
      </c>
    </row>
    <row r="23" spans="2:3" x14ac:dyDescent="0.25">
      <c r="B23" s="25" t="s">
        <v>52</v>
      </c>
      <c r="C23" s="164">
        <v>13000</v>
      </c>
    </row>
    <row r="24" spans="2:3" x14ac:dyDescent="0.25">
      <c r="B24" s="25" t="s">
        <v>24</v>
      </c>
      <c r="C24" s="164">
        <v>20000</v>
      </c>
    </row>
    <row r="25" spans="2:3" x14ac:dyDescent="0.25">
      <c r="B25" s="26" t="s">
        <v>25</v>
      </c>
      <c r="C25" s="31">
        <f>SUM(C20:C24)</f>
        <v>168500</v>
      </c>
    </row>
    <row r="27" spans="2:3" x14ac:dyDescent="0.25">
      <c r="B27" s="159" t="s">
        <v>28</v>
      </c>
      <c r="C27" s="31">
        <f>C17-C25</f>
        <v>17500</v>
      </c>
    </row>
  </sheetData>
  <sheetProtection algorithmName="SHA-512" hashValue="NcudM2cEDcJg78kCOnWnlkUC+Lm4sAL0CBoPD+bMeP/JagRNOf3xLylADfMLdub8AsqOmPMy+KRiU7/vxyRGrw==" saltValue="ZBDQ1geRq2AhBX/DYJXDaQ==" spinCount="100000" sheet="1" objects="1" scenarios="1"/>
  <mergeCells count="1">
    <mergeCell ref="B6:C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2D8B-67B9-CA4A-80BD-48C9265BDB81}">
  <sheetPr>
    <outlinePr summaryBelow="0" summaryRight="0"/>
  </sheetPr>
  <dimension ref="B6:O44"/>
  <sheetViews>
    <sheetView showGridLines="0" tabSelected="1" topLeftCell="A16" zoomScale="110" zoomScaleNormal="110" workbookViewId="0">
      <selection activeCell="F14" sqref="F14:F20"/>
    </sheetView>
  </sheetViews>
  <sheetFormatPr defaultColWidth="12.75" defaultRowHeight="15.75" customHeight="1" x14ac:dyDescent="0.25"/>
  <cols>
    <col min="1" max="1" width="1.75" style="35" customWidth="1"/>
    <col min="2" max="2" width="36.25" style="35" bestFit="1" customWidth="1"/>
    <col min="3" max="3" width="22" style="35" customWidth="1"/>
    <col min="4" max="4" width="16.5" style="35" customWidth="1"/>
    <col min="5" max="5" width="17" style="35" bestFit="1" customWidth="1"/>
    <col min="6" max="6" width="16.25" style="35" customWidth="1"/>
    <col min="7" max="7" width="13.25" style="35" bestFit="1" customWidth="1"/>
    <col min="8" max="8" width="12.75" style="35"/>
    <col min="9" max="9" width="17" style="35" bestFit="1" customWidth="1"/>
    <col min="10" max="10" width="16.25" style="35" customWidth="1"/>
    <col min="11" max="11" width="13.25" style="35" bestFit="1" customWidth="1"/>
    <col min="12" max="12" width="12.75" style="35"/>
    <col min="13" max="13" width="17" style="35" bestFit="1" customWidth="1"/>
    <col min="14" max="14" width="16.25" style="35" customWidth="1"/>
    <col min="15" max="15" width="13.25" style="35" bestFit="1" customWidth="1"/>
    <col min="16" max="16384" width="12.75" style="35"/>
  </cols>
  <sheetData>
    <row r="6" spans="2:15" x14ac:dyDescent="0.25">
      <c r="B6" s="20"/>
      <c r="C6" s="21" t="s">
        <v>104</v>
      </c>
      <c r="E6" s="36"/>
      <c r="F6" s="36"/>
    </row>
    <row r="7" spans="2:15" ht="18" customHeight="1" x14ac:dyDescent="0.25">
      <c r="B7" s="22"/>
      <c r="C7" s="21" t="s">
        <v>105</v>
      </c>
      <c r="E7" s="172" t="s">
        <v>103</v>
      </c>
      <c r="F7" s="172"/>
      <c r="G7" s="172"/>
    </row>
    <row r="8" spans="2:15" ht="25.15" customHeight="1" x14ac:dyDescent="0.25">
      <c r="B8" s="33"/>
      <c r="C8" s="33"/>
      <c r="D8" s="34"/>
      <c r="E8" s="172"/>
      <c r="F8" s="172"/>
      <c r="G8" s="172"/>
    </row>
    <row r="9" spans="2:15" ht="15.4" customHeight="1" x14ac:dyDescent="0.25">
      <c r="B9" s="38" t="s">
        <v>72</v>
      </c>
      <c r="C9" s="39">
        <f>C34-C44</f>
        <v>7111629</v>
      </c>
      <c r="D9" s="34"/>
      <c r="E9" s="37"/>
      <c r="F9" s="37"/>
      <c r="G9" s="37"/>
    </row>
    <row r="10" spans="2:15" x14ac:dyDescent="0.25">
      <c r="B10" s="38" t="s">
        <v>71</v>
      </c>
      <c r="C10" s="39">
        <f>C33</f>
        <v>380230</v>
      </c>
      <c r="D10" s="34"/>
      <c r="E10" s="37"/>
      <c r="F10" s="37"/>
      <c r="G10" s="37"/>
    </row>
    <row r="11" spans="2:15" x14ac:dyDescent="0.25">
      <c r="B11" s="33"/>
      <c r="C11" s="33"/>
      <c r="D11" s="34"/>
      <c r="E11" s="33"/>
      <c r="F11" s="33"/>
    </row>
    <row r="12" spans="2:15" ht="19.149999999999999" customHeight="1" x14ac:dyDescent="0.3">
      <c r="B12" s="176" t="s">
        <v>7</v>
      </c>
      <c r="C12" s="177"/>
      <c r="D12" s="40"/>
      <c r="E12" s="175" t="s">
        <v>70</v>
      </c>
      <c r="F12" s="175"/>
      <c r="G12" s="175"/>
      <c r="I12" s="175" t="s">
        <v>100</v>
      </c>
      <c r="J12" s="175"/>
      <c r="K12" s="175"/>
      <c r="M12" s="175" t="s">
        <v>101</v>
      </c>
      <c r="N12" s="175"/>
      <c r="O12" s="175"/>
    </row>
    <row r="13" spans="2:15" x14ac:dyDescent="0.25">
      <c r="B13" s="23" t="s">
        <v>9</v>
      </c>
      <c r="C13" s="24" t="s">
        <v>10</v>
      </c>
      <c r="D13" s="41"/>
      <c r="E13" s="23" t="s">
        <v>9</v>
      </c>
      <c r="F13" s="24" t="s">
        <v>10</v>
      </c>
      <c r="G13" s="24" t="s">
        <v>40</v>
      </c>
      <c r="I13" s="23" t="s">
        <v>9</v>
      </c>
      <c r="J13" s="24" t="s">
        <v>10</v>
      </c>
      <c r="K13" s="24" t="s">
        <v>40</v>
      </c>
      <c r="M13" s="23" t="s">
        <v>9</v>
      </c>
      <c r="N13" s="24" t="s">
        <v>10</v>
      </c>
      <c r="O13" s="24" t="s">
        <v>40</v>
      </c>
    </row>
    <row r="14" spans="2:15" x14ac:dyDescent="0.25">
      <c r="B14" s="173" t="s">
        <v>33</v>
      </c>
      <c r="C14" s="174"/>
      <c r="D14" s="41"/>
      <c r="E14" s="52" t="s">
        <v>69</v>
      </c>
      <c r="F14" s="56">
        <f>C15+C16+C32</f>
        <v>12000000</v>
      </c>
      <c r="G14" s="53">
        <f t="shared" ref="G14:G19" si="0">IFERROR(F14/$F$20,0)</f>
        <v>0.92698237111275739</v>
      </c>
      <c r="I14" s="52" t="s">
        <v>69</v>
      </c>
      <c r="J14" s="56">
        <f>C32+C16</f>
        <v>3000000</v>
      </c>
      <c r="K14" s="53">
        <f>IFERROR(J14/$J$20,0)</f>
        <v>0.82299333649728545</v>
      </c>
      <c r="M14" s="52" t="s">
        <v>2</v>
      </c>
      <c r="N14" s="56">
        <f>SUMIF('Financial Goals'!$E$11:$E$25,"Short Term",'Financial Goals'!$G$11:$G$25)*VLOOKUP('Net worth'!$M14,'Returns &amp; Asset Mix assumption'!$B$13:$F$19,3,0)+SUMIF('Financial Goals'!$E$11:$E$25,"Medium Term",'Financial Goals'!$G$11:$G$25)*VLOOKUP('Net worth'!$M14,'Returns &amp; Asset Mix assumption'!$B$13:$F$19,4,0)+SUMIF('Financial Goals'!$E$11:$E$25,"Long Term",'Financial Goals'!$G$11:$G$25)*VLOOKUP('Net worth'!$M14,'Returns &amp; Asset Mix assumption'!$B$13:$F$19,5,0)</f>
        <v>12750</v>
      </c>
      <c r="O14" s="53">
        <f>IFERROR(N14/$N$20,0)</f>
        <v>2.350789404300746E-2</v>
      </c>
    </row>
    <row r="15" spans="2:15" x14ac:dyDescent="0.25">
      <c r="B15" s="42" t="s">
        <v>11</v>
      </c>
      <c r="C15" s="30">
        <f>'Real estate &amp; REIT'!C11</f>
        <v>9000000</v>
      </c>
      <c r="D15" s="41"/>
      <c r="E15" s="52" t="s">
        <v>67</v>
      </c>
      <c r="F15" s="56">
        <f>C25+C26+C19+C28</f>
        <v>99226</v>
      </c>
      <c r="G15" s="53">
        <f t="shared" si="0"/>
        <v>7.6650627296695386E-3</v>
      </c>
      <c r="I15" s="52" t="s">
        <v>67</v>
      </c>
      <c r="J15" s="56">
        <f>C25+C26+C28+C19</f>
        <v>99226</v>
      </c>
      <c r="K15" s="53">
        <f t="shared" ref="K15:K19" si="1">IFERROR(J15/$J$20,0)</f>
        <v>2.7220778935759884E-2</v>
      </c>
      <c r="M15" s="52" t="s">
        <v>67</v>
      </c>
      <c r="N15" s="56">
        <f>SUMIF('Financial Goals'!$E$11:$E$25,"Short Term",'Financial Goals'!$G$11:$G$25)*VLOOKUP('Net worth'!$M15,'Returns &amp; Asset Mix assumption'!$B$13:$F$19,3,0)+SUMIF('Financial Goals'!$E$11:$E$25,"Medium Term",'Financial Goals'!$G$11:$G$25)*VLOOKUP('Net worth'!$M15,'Returns &amp; Asset Mix assumption'!$B$13:$F$19,4,0)+SUMIF('Financial Goals'!$E$11:$E$25,"Long Term",'Financial Goals'!$G$11:$G$25)*VLOOKUP('Net worth'!$M15,'Returns &amp; Asset Mix assumption'!$B$13:$F$19,5,0)</f>
        <v>153000</v>
      </c>
      <c r="O15" s="53">
        <f t="shared" ref="O15:O19" si="2">IFERROR(N15/$N$20,0)</f>
        <v>0.28209472851608952</v>
      </c>
    </row>
    <row r="16" spans="2:15" x14ac:dyDescent="0.25">
      <c r="B16" s="42" t="s">
        <v>13</v>
      </c>
      <c r="C16" s="30">
        <f>'Real estate &amp; REIT'!C12</f>
        <v>3000000</v>
      </c>
      <c r="D16" s="41"/>
      <c r="E16" s="52" t="s">
        <v>68</v>
      </c>
      <c r="F16" s="56">
        <f>SUM(C27:C27)</f>
        <v>0</v>
      </c>
      <c r="G16" s="53">
        <f t="shared" si="0"/>
        <v>0</v>
      </c>
      <c r="I16" s="52" t="s">
        <v>68</v>
      </c>
      <c r="J16" s="56">
        <f>C27</f>
        <v>0</v>
      </c>
      <c r="K16" s="53">
        <f t="shared" si="1"/>
        <v>0</v>
      </c>
      <c r="M16" s="52" t="s">
        <v>41</v>
      </c>
      <c r="N16" s="56">
        <f>SUMIF('Financial Goals'!$E$11:$E$25,"Short Term",'Financial Goals'!$G$11:$G$25)*VLOOKUP('Net worth'!$M16,'Returns &amp; Asset Mix assumption'!$B$13:$F$19,3,0)+SUMIF('Financial Goals'!$E$11:$E$25,"Medium Term",'Financial Goals'!$G$11:$G$25)*VLOOKUP('Net worth'!$M16,'Returns &amp; Asset Mix assumption'!$B$13:$F$19,4,0)+SUMIF('Financial Goals'!$E$11:$E$25,"Long Term",'Financial Goals'!$G$11:$G$25)*VLOOKUP('Net worth'!$M16,'Returns &amp; Asset Mix assumption'!$B$13:$F$19,5,0)</f>
        <v>25500</v>
      </c>
      <c r="O16" s="53">
        <f t="shared" si="2"/>
        <v>4.701578808601492E-2</v>
      </c>
    </row>
    <row r="17" spans="2:15" x14ac:dyDescent="0.25">
      <c r="B17" s="42" t="s">
        <v>19</v>
      </c>
      <c r="C17" s="30">
        <f>Gold!C11</f>
        <v>300000</v>
      </c>
      <c r="D17" s="41"/>
      <c r="E17" s="52" t="s">
        <v>0</v>
      </c>
      <c r="F17" s="56">
        <f>SUM(C23:C24)+C20+C29</f>
        <v>513135</v>
      </c>
      <c r="G17" s="53">
        <f t="shared" si="0"/>
        <v>3.9638924916745394E-2</v>
      </c>
      <c r="I17" s="52" t="s">
        <v>0</v>
      </c>
      <c r="J17" s="56">
        <f>C23+C24+C29+C20</f>
        <v>513135</v>
      </c>
      <c r="K17" s="53">
        <f t="shared" si="1"/>
        <v>0.14076889524117819</v>
      </c>
      <c r="M17" s="52" t="s">
        <v>0</v>
      </c>
      <c r="N17" s="56">
        <f>SUMIF('Financial Goals'!$E$11:$E$25,"Short Term",'Financial Goals'!$G$11:$G$25)*VLOOKUP('Net worth'!$M17,'Returns &amp; Asset Mix assumption'!$B$13:$F$19,3,0)+SUMIF('Financial Goals'!$E$11:$E$25,"Medium Term",'Financial Goals'!$G$11:$G$25)*VLOOKUP('Net worth'!$M17,'Returns &amp; Asset Mix assumption'!$B$13:$F$19,4,0)+SUMIF('Financial Goals'!$E$11:$E$25,"Long Term",'Financial Goals'!$G$11:$G$25)*VLOOKUP('Net worth'!$M17,'Returns &amp; Asset Mix assumption'!$B$13:$F$19,5,0)</f>
        <v>325621</v>
      </c>
      <c r="O17" s="53">
        <f t="shared" si="2"/>
        <v>0.60036580126887318</v>
      </c>
    </row>
    <row r="18" spans="2:15" x14ac:dyDescent="0.25">
      <c r="B18" s="42" t="s">
        <v>34</v>
      </c>
      <c r="C18" s="30">
        <f>Gold!C12</f>
        <v>10000</v>
      </c>
      <c r="D18" s="41"/>
      <c r="E18" s="52" t="s">
        <v>39</v>
      </c>
      <c r="F18" s="56">
        <f>C17+C18+C30</f>
        <v>317869</v>
      </c>
      <c r="G18" s="53">
        <f t="shared" si="0"/>
        <v>2.4554913276936756E-2</v>
      </c>
      <c r="I18" s="52" t="s">
        <v>39</v>
      </c>
      <c r="J18" s="56">
        <f>C30+C18</f>
        <v>17869</v>
      </c>
      <c r="K18" s="53">
        <f t="shared" si="1"/>
        <v>4.9020226432899983E-3</v>
      </c>
      <c r="M18" s="52" t="s">
        <v>56</v>
      </c>
      <c r="N18" s="56">
        <f>SUMIF('Financial Goals'!$E$11:$E$25,"Short Term",'Financial Goals'!$G$11:$G$25)*VLOOKUP('Net worth'!$M18,'Returns &amp; Asset Mix assumption'!$B$13:$F$19,3,0)+SUMIF('Financial Goals'!$E$11:$E$25,"Medium Term",'Financial Goals'!$G$11:$G$25)*VLOOKUP('Net worth'!$M18,'Returns &amp; Asset Mix assumption'!$B$13:$F$19,4,0)+SUMIF('Financial Goals'!$E$11:$E$25,"Long Term",'Financial Goals'!$G$11:$G$25)*VLOOKUP('Net worth'!$M18,'Returns &amp; Asset Mix assumption'!$B$13:$F$19,5,0)</f>
        <v>12750</v>
      </c>
      <c r="O18" s="53">
        <f t="shared" si="2"/>
        <v>2.350789404300746E-2</v>
      </c>
    </row>
    <row r="19" spans="2:15" x14ac:dyDescent="0.25">
      <c r="B19" s="42" t="s">
        <v>35</v>
      </c>
      <c r="C19" s="30">
        <f>Miscellaneous!C13</f>
        <v>0</v>
      </c>
      <c r="D19" s="41"/>
      <c r="E19" s="52" t="s">
        <v>1</v>
      </c>
      <c r="F19" s="56">
        <f>C31</f>
        <v>15000</v>
      </c>
      <c r="G19" s="53">
        <f t="shared" si="0"/>
        <v>1.1587279638909467E-3</v>
      </c>
      <c r="I19" s="52" t="s">
        <v>1</v>
      </c>
      <c r="J19" s="56">
        <f>C31</f>
        <v>15000</v>
      </c>
      <c r="K19" s="53">
        <f t="shared" si="1"/>
        <v>4.1149666824864279E-3</v>
      </c>
      <c r="M19" s="52" t="s">
        <v>1</v>
      </c>
      <c r="N19" s="56">
        <f>SUMIF('Financial Goals'!$E$11:$E$25,"Short Term",'Financial Goals'!$G$11:$G$25)*VLOOKUP('Net worth'!$M19,'Returns &amp; Asset Mix assumption'!$B$13:$F$19,3,0)+SUMIF('Financial Goals'!$E$11:$E$25,"Medium Term",'Financial Goals'!$G$11:$G$25)*VLOOKUP('Net worth'!$M19,'Returns &amp; Asset Mix assumption'!$B$13:$F$19,4,0)+SUMIF('Financial Goals'!$E$11:$E$25,"Long Term",'Financial Goals'!$G$11:$G$25)*VLOOKUP('Net worth'!$M19,'Returns &amp; Asset Mix assumption'!$B$13:$F$19,5,0)</f>
        <v>12750</v>
      </c>
      <c r="O19" s="53">
        <f t="shared" si="2"/>
        <v>2.350789404300746E-2</v>
      </c>
    </row>
    <row r="20" spans="2:15" x14ac:dyDescent="0.25">
      <c r="B20" s="42" t="s">
        <v>32</v>
      </c>
      <c r="C20" s="30">
        <f>Debt!L15</f>
        <v>255000</v>
      </c>
      <c r="D20" s="41"/>
      <c r="E20" s="54" t="s">
        <v>25</v>
      </c>
      <c r="F20" s="57">
        <f>SUM(F14:F19)</f>
        <v>12945230</v>
      </c>
      <c r="G20" s="55">
        <f>SUM(G14:G19)</f>
        <v>0.99999999999999989</v>
      </c>
      <c r="I20" s="54" t="s">
        <v>25</v>
      </c>
      <c r="J20" s="57">
        <f>SUM(J14:J19)</f>
        <v>3645230</v>
      </c>
      <c r="K20" s="55">
        <f>SUM(K14:K19)</f>
        <v>1</v>
      </c>
      <c r="M20" s="54" t="s">
        <v>25</v>
      </c>
      <c r="N20" s="57">
        <f>SUM(N14:N19)</f>
        <v>542371</v>
      </c>
      <c r="O20" s="55">
        <f>SUM(O14:O19)</f>
        <v>1</v>
      </c>
    </row>
    <row r="21" spans="2:15" x14ac:dyDescent="0.25">
      <c r="B21" s="44" t="s">
        <v>63</v>
      </c>
      <c r="C21" s="51">
        <f>SUM(C15:C20)</f>
        <v>12565000</v>
      </c>
      <c r="D21" s="41"/>
      <c r="L21" s="157"/>
    </row>
    <row r="22" spans="2:15" x14ac:dyDescent="0.25">
      <c r="B22" s="173" t="s">
        <v>37</v>
      </c>
      <c r="C22" s="174"/>
      <c r="D22" s="41"/>
    </row>
    <row r="23" spans="2:15" x14ac:dyDescent="0.25">
      <c r="B23" s="42" t="s">
        <v>30</v>
      </c>
      <c r="C23" s="29">
        <f>Debt!F15</f>
        <v>0</v>
      </c>
      <c r="D23" s="41"/>
    </row>
    <row r="24" spans="2:15" x14ac:dyDescent="0.25">
      <c r="B24" s="42" t="s">
        <v>31</v>
      </c>
      <c r="C24" s="30">
        <f>Debt!I15</f>
        <v>32779</v>
      </c>
      <c r="D24" s="41"/>
    </row>
    <row r="25" spans="2:15" x14ac:dyDescent="0.25">
      <c r="B25" s="42" t="s">
        <v>65</v>
      </c>
      <c r="C25" s="30">
        <f>'Domestic Equity'!C24</f>
        <v>0</v>
      </c>
      <c r="D25" s="41"/>
    </row>
    <row r="26" spans="2:15" x14ac:dyDescent="0.25">
      <c r="B26" s="42" t="s">
        <v>66</v>
      </c>
      <c r="C26" s="30">
        <f>'Domestic Equity'!G25</f>
        <v>99226</v>
      </c>
      <c r="D26" s="41"/>
    </row>
    <row r="27" spans="2:15" x14ac:dyDescent="0.25">
      <c r="B27" s="42" t="s">
        <v>68</v>
      </c>
      <c r="C27" s="30">
        <f>'US equity'!C15</f>
        <v>0</v>
      </c>
    </row>
    <row r="28" spans="2:15" x14ac:dyDescent="0.25">
      <c r="B28" s="42" t="s">
        <v>116</v>
      </c>
      <c r="C28" s="30">
        <f>Miscellaneous!C14</f>
        <v>0</v>
      </c>
    </row>
    <row r="29" spans="2:15" x14ac:dyDescent="0.25">
      <c r="B29" s="42" t="s">
        <v>97</v>
      </c>
      <c r="C29" s="30">
        <f>Debt!C15</f>
        <v>225356</v>
      </c>
      <c r="D29" s="43" t="str">
        <f>'Cash flows'!C25*6&amp;" recommended"</f>
        <v>1011000 recommended</v>
      </c>
    </row>
    <row r="30" spans="2:15" x14ac:dyDescent="0.25">
      <c r="B30" s="42" t="s">
        <v>36</v>
      </c>
      <c r="C30" s="30">
        <f>Gold!C13</f>
        <v>7869</v>
      </c>
      <c r="D30" s="41"/>
    </row>
    <row r="31" spans="2:15" x14ac:dyDescent="0.25">
      <c r="B31" s="42" t="s">
        <v>1</v>
      </c>
      <c r="C31" s="30">
        <f>Crypto!C14</f>
        <v>15000</v>
      </c>
      <c r="D31" s="41"/>
    </row>
    <row r="32" spans="2:15" x14ac:dyDescent="0.25">
      <c r="B32" s="42" t="s">
        <v>73</v>
      </c>
      <c r="C32" s="30">
        <f>'Real estate &amp; REIT'!C13</f>
        <v>0</v>
      </c>
      <c r="D32" s="41"/>
    </row>
    <row r="33" spans="2:6" x14ac:dyDescent="0.25">
      <c r="B33" s="44" t="s">
        <v>64</v>
      </c>
      <c r="C33" s="49">
        <f>SUM(C23:C32)</f>
        <v>380230</v>
      </c>
      <c r="D33" s="41"/>
      <c r="E33" s="41"/>
      <c r="F33" s="41"/>
    </row>
    <row r="34" spans="2:6" x14ac:dyDescent="0.25">
      <c r="B34" s="45" t="s">
        <v>20</v>
      </c>
      <c r="C34" s="50">
        <f>C21+C33</f>
        <v>12945230</v>
      </c>
      <c r="D34" s="41"/>
      <c r="E34" s="41"/>
      <c r="F34" s="41"/>
    </row>
    <row r="35" spans="2:6" x14ac:dyDescent="0.25">
      <c r="B35" s="46"/>
      <c r="C35" s="46"/>
      <c r="D35" s="41"/>
      <c r="E35" s="41"/>
      <c r="F35" s="41"/>
    </row>
    <row r="36" spans="2:6" ht="18.75" x14ac:dyDescent="0.3">
      <c r="B36" s="176" t="s">
        <v>8</v>
      </c>
      <c r="C36" s="177"/>
      <c r="D36" s="41"/>
      <c r="E36" s="41"/>
      <c r="F36" s="41"/>
    </row>
    <row r="37" spans="2:6" x14ac:dyDescent="0.25">
      <c r="B37" s="23" t="s">
        <v>9</v>
      </c>
      <c r="C37" s="24" t="s">
        <v>10</v>
      </c>
      <c r="D37" s="41"/>
      <c r="E37" s="41"/>
      <c r="F37" s="41"/>
    </row>
    <row r="38" spans="2:6" ht="15.75" customHeight="1" x14ac:dyDescent="0.25">
      <c r="B38" s="42" t="s">
        <v>12</v>
      </c>
      <c r="C38" s="164">
        <f>5519347+143254</f>
        <v>5662601</v>
      </c>
      <c r="D38" s="46"/>
      <c r="E38" s="46"/>
      <c r="F38" s="46"/>
    </row>
    <row r="39" spans="2:6" ht="15.75" customHeight="1" x14ac:dyDescent="0.25">
      <c r="B39" s="42" t="s">
        <v>16</v>
      </c>
      <c r="C39" s="164"/>
      <c r="E39" s="46"/>
      <c r="F39" s="46"/>
    </row>
    <row r="40" spans="2:6" ht="15.75" customHeight="1" x14ac:dyDescent="0.25">
      <c r="B40" s="42" t="s">
        <v>17</v>
      </c>
      <c r="C40" s="164">
        <v>15000</v>
      </c>
    </row>
    <row r="41" spans="2:6" ht="15.75" customHeight="1" x14ac:dyDescent="0.25">
      <c r="B41" s="42" t="s">
        <v>15</v>
      </c>
      <c r="C41" s="164"/>
    </row>
    <row r="42" spans="2:6" ht="15.75" customHeight="1" x14ac:dyDescent="0.25">
      <c r="B42" s="42" t="s">
        <v>14</v>
      </c>
      <c r="C42" s="164">
        <v>0</v>
      </c>
    </row>
    <row r="43" spans="2:6" ht="15.75" customHeight="1" x14ac:dyDescent="0.25">
      <c r="B43" s="47" t="s">
        <v>38</v>
      </c>
      <c r="C43" s="164">
        <v>156000</v>
      </c>
    </row>
    <row r="44" spans="2:6" ht="15.75" customHeight="1" x14ac:dyDescent="0.25">
      <c r="B44" s="45" t="s">
        <v>18</v>
      </c>
      <c r="C44" s="48">
        <f>SUM(C38:C43)</f>
        <v>5833601</v>
      </c>
    </row>
  </sheetData>
  <sheetProtection algorithmName="SHA-512" hashValue="AvpQbSvh1b8/UylBJv78G199gicILemI/YRhdZ749sm9eRvbdutU1k8mUulifIQI6LzKH4uGhBL4aXltvflXrA==" saltValue="/kXmM4xeSFy/N6C/nliOGA==" spinCount="100000" sheet="1" objects="1" scenarios="1"/>
  <mergeCells count="8">
    <mergeCell ref="B36:C36"/>
    <mergeCell ref="E12:G12"/>
    <mergeCell ref="I12:K12"/>
    <mergeCell ref="E7:G8"/>
    <mergeCell ref="B22:C22"/>
    <mergeCell ref="B14:C14"/>
    <mergeCell ref="M12:O12"/>
    <mergeCell ref="B12:C12"/>
  </mergeCells>
  <hyperlinks>
    <hyperlink ref="C15" location="'Real estate &amp; REIT'!A1" display="'Real estate &amp; REIT'!A1" xr:uid="{3937C392-F9E7-934A-965F-D9AF101A3745}"/>
    <hyperlink ref="C16" location="'Real estate &amp; REIT'!A1" display="'Real estate &amp; REIT'!A1" xr:uid="{B7F1503B-3AEE-964B-A2A2-5C9F6DA5B96C}"/>
    <hyperlink ref="C17" location="Gold!A1" display="Gold!A1" xr:uid="{FB0DE56B-F31C-854C-9FDD-96BAF277AF5D}"/>
    <hyperlink ref="C18" location="Gold!A1" display="Gold!A1" xr:uid="{2C370E20-AD18-9846-9E4F-4B82776A5E1F}"/>
    <hyperlink ref="C20" location="Debt!A1" display="Debt!A1" xr:uid="{509C78C9-418B-C040-97B5-7937A1A5E916}"/>
    <hyperlink ref="C23" location="Debt!A1" display="Debt!A1" xr:uid="{6A6DDABA-9A11-DB42-BBCC-3913BC3F646A}"/>
    <hyperlink ref="C24" location="Debt!A1" display="Debt!A1" xr:uid="{85DC3609-3ADD-BD40-A37F-D15FB83C51A9}"/>
    <hyperlink ref="C25" location="'Domestic Equity'!A1" display="'Domestic Equity'!A1" xr:uid="{3CC25521-0B02-144F-A794-11D63CF7B1FE}"/>
    <hyperlink ref="C26" location="'Domestic Equity'!A1" display="'Domestic Equity'!A1" xr:uid="{7F6825C4-4F74-AA47-A35D-D738AFE6AB19}"/>
    <hyperlink ref="C27" location="'US equity'!A1" display="'US equity'!A1" xr:uid="{5E4F36C3-6985-6644-A177-5737E424D0D0}"/>
    <hyperlink ref="C29" location="Debt!A1" display="Debt!A1" xr:uid="{0BD865E8-12D3-D941-B870-A2AB4FD552AC}"/>
    <hyperlink ref="C30" location="Gold!A1" display="Gold!A1" xr:uid="{A61E40A0-897C-BA4F-B649-655FA4CD1F5D}"/>
    <hyperlink ref="C31" location="Crypto!A1" display="Crypto!A1" xr:uid="{4F45C1D5-BD44-F44C-909B-A02AE91234A7}"/>
    <hyperlink ref="C32" location="'Real estate &amp; REIT'!A1" display="'Real estate &amp; REIT'!A1" xr:uid="{BD79A548-28CC-EC43-9B85-4A48C7B70DC6}"/>
    <hyperlink ref="C19" location="Miscellaneous!A1" display="Miscellaneous!A1" xr:uid="{94CE517D-328B-D443-9BA6-6DB79E88BEE3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63418-4D5F-534F-BEEA-279DC8CCCF2F}">
  <dimension ref="B4:D14"/>
  <sheetViews>
    <sheetView showGridLines="0" zoomScale="120" zoomScaleNormal="120" workbookViewId="0"/>
  </sheetViews>
  <sheetFormatPr defaultColWidth="11.25" defaultRowHeight="15.75" x14ac:dyDescent="0.25"/>
  <cols>
    <col min="1" max="1" width="6.25" style="36" customWidth="1"/>
    <col min="2" max="2" width="20.75" style="36" customWidth="1"/>
    <col min="3" max="3" width="13.25" style="36" customWidth="1"/>
    <col min="4" max="16384" width="11.25" style="36"/>
  </cols>
  <sheetData>
    <row r="4" spans="2:4" x14ac:dyDescent="0.25">
      <c r="B4" s="178" t="s">
        <v>103</v>
      </c>
      <c r="C4" s="179"/>
    </row>
    <row r="5" spans="2:4" x14ac:dyDescent="0.25">
      <c r="B5" s="179"/>
      <c r="C5" s="179"/>
    </row>
    <row r="6" spans="2:4" x14ac:dyDescent="0.25">
      <c r="B6" s="179"/>
      <c r="C6" s="179"/>
    </row>
    <row r="7" spans="2:4" ht="18.75" x14ac:dyDescent="0.3">
      <c r="B7" s="90"/>
      <c r="C7" s="91" t="s">
        <v>92</v>
      </c>
      <c r="D7" s="92"/>
    </row>
    <row r="8" spans="2:4" ht="18" customHeight="1" x14ac:dyDescent="0.3">
      <c r="B8" s="93"/>
      <c r="C8" s="94" t="s">
        <v>106</v>
      </c>
      <c r="D8" s="95"/>
    </row>
    <row r="10" spans="2:4" x14ac:dyDescent="0.25">
      <c r="B10" s="23" t="s">
        <v>9</v>
      </c>
      <c r="C10" s="24" t="s">
        <v>10</v>
      </c>
    </row>
    <row r="11" spans="2:4" x14ac:dyDescent="0.25">
      <c r="B11" s="96" t="s">
        <v>11</v>
      </c>
      <c r="C11" s="166">
        <v>9000000</v>
      </c>
    </row>
    <row r="12" spans="2:4" x14ac:dyDescent="0.25">
      <c r="B12" s="96" t="s">
        <v>13</v>
      </c>
      <c r="C12" s="166">
        <v>3000000</v>
      </c>
    </row>
    <row r="13" spans="2:4" x14ac:dyDescent="0.25">
      <c r="B13" s="96" t="s">
        <v>73</v>
      </c>
      <c r="C13" s="166"/>
      <c r="D13" s="167" t="s">
        <v>74</v>
      </c>
    </row>
    <row r="14" spans="2:4" x14ac:dyDescent="0.25">
      <c r="B14" s="99" t="s">
        <v>25</v>
      </c>
      <c r="C14" s="100">
        <f>IFERROR(C13+C12+C11,0)</f>
        <v>12000000</v>
      </c>
    </row>
  </sheetData>
  <sheetProtection algorithmName="SHA-512" hashValue="f8SAXJjDqILcTVh8nN+XpGLnaVcfEEuKyxPdBd2WVWu8Zq5lLaS7jziyHpmrQlXUtat0Pn2XHwzPYUOG9sfVdA==" saltValue="EqMTVYm8GmTdU7qiuP6NuA==" spinCount="100000" sheet="1" objects="1" scenarios="1"/>
  <mergeCells count="1">
    <mergeCell ref="B4:C6"/>
  </mergeCells>
  <hyperlinks>
    <hyperlink ref="D13" r:id="rId1" xr:uid="{040A1E3D-67AC-5748-B4D4-DCC5CFCFB3E2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AD92B-572A-B343-936F-70EAF33B28E4}">
  <dimension ref="B1:U421"/>
  <sheetViews>
    <sheetView showGridLines="0" zoomScale="70" zoomScaleNormal="70" workbookViewId="0">
      <selection activeCell="H31" sqref="H31"/>
    </sheetView>
  </sheetViews>
  <sheetFormatPr defaultColWidth="11.25" defaultRowHeight="15.75" x14ac:dyDescent="0.25"/>
  <cols>
    <col min="1" max="1" width="5.25" style="19" customWidth="1"/>
    <col min="2" max="2" width="30.5" style="133" customWidth="1"/>
    <col min="3" max="3" width="21.75" style="133" bestFit="1" customWidth="1"/>
    <col min="4" max="4" width="22.125" style="134" bestFit="1" customWidth="1"/>
    <col min="5" max="5" width="3.25" style="19" customWidth="1"/>
    <col min="6" max="6" width="30.5" style="133" customWidth="1"/>
    <col min="7" max="7" width="21.75" style="131" bestFit="1" customWidth="1"/>
    <col min="8" max="8" width="19.75" style="134" customWidth="1"/>
    <col min="9" max="9" width="4.5" style="19" customWidth="1"/>
    <col min="10" max="10" width="10.75" style="135"/>
    <col min="11" max="11" width="41.125" style="133" bestFit="1" customWidth="1"/>
    <col min="12" max="12" width="21.75" style="131" bestFit="1" customWidth="1"/>
    <col min="13" max="13" width="16.75" style="137" bestFit="1" customWidth="1"/>
    <col min="14" max="14" width="24.875" style="137" bestFit="1" customWidth="1"/>
    <col min="15" max="15" width="13.25" style="137" bestFit="1" customWidth="1"/>
    <col min="16" max="16" width="10.75" style="137"/>
    <col min="17" max="17" width="13" style="19" customWidth="1"/>
    <col min="18" max="16384" width="11.25" style="19"/>
  </cols>
  <sheetData>
    <row r="1" spans="3:13" x14ac:dyDescent="0.25">
      <c r="L1" s="136"/>
      <c r="M1" s="136"/>
    </row>
    <row r="2" spans="3:13" x14ac:dyDescent="0.25">
      <c r="L2" s="136"/>
      <c r="M2" s="136"/>
    </row>
    <row r="3" spans="3:13" x14ac:dyDescent="0.25">
      <c r="L3" s="136"/>
      <c r="M3" s="136"/>
    </row>
    <row r="4" spans="3:13" x14ac:dyDescent="0.25">
      <c r="L4" s="136"/>
      <c r="M4" s="136"/>
    </row>
    <row r="5" spans="3:13" s="36" customFormat="1" x14ac:dyDescent="0.25">
      <c r="C5" s="95" t="s">
        <v>92</v>
      </c>
      <c r="D5" s="92"/>
      <c r="E5" s="92"/>
      <c r="G5" s="149"/>
    </row>
    <row r="6" spans="3:13" s="36" customFormat="1" ht="24" customHeight="1" x14ac:dyDescent="0.25">
      <c r="C6" s="180" t="s">
        <v>93</v>
      </c>
      <c r="D6" s="180"/>
      <c r="E6" s="180"/>
      <c r="F6" s="138"/>
      <c r="G6" s="149"/>
    </row>
    <row r="7" spans="3:13" x14ac:dyDescent="0.25">
      <c r="L7" s="136"/>
      <c r="M7" s="136"/>
    </row>
    <row r="8" spans="3:13" x14ac:dyDescent="0.25">
      <c r="L8" s="136"/>
      <c r="M8" s="136"/>
    </row>
    <row r="9" spans="3:13" x14ac:dyDescent="0.25">
      <c r="L9" s="136"/>
      <c r="M9" s="136"/>
    </row>
    <row r="10" spans="3:13" x14ac:dyDescent="0.25">
      <c r="L10" s="136"/>
      <c r="M10" s="136"/>
    </row>
    <row r="11" spans="3:13" x14ac:dyDescent="0.25">
      <c r="L11" s="136"/>
      <c r="M11" s="136"/>
    </row>
    <row r="17" spans="2:21" x14ac:dyDescent="0.25">
      <c r="L17" s="136"/>
      <c r="M17" s="136"/>
    </row>
    <row r="18" spans="2:21" x14ac:dyDescent="0.25">
      <c r="L18" s="136"/>
      <c r="M18" s="136"/>
    </row>
    <row r="19" spans="2:21" x14ac:dyDescent="0.25">
      <c r="L19" s="136"/>
      <c r="M19" s="136"/>
    </row>
    <row r="20" spans="2:21" s="36" customFormat="1" x14ac:dyDescent="0.25">
      <c r="B20" s="132" t="s">
        <v>83</v>
      </c>
      <c r="C20" s="132" t="s">
        <v>84</v>
      </c>
      <c r="D20" s="132" t="s">
        <v>85</v>
      </c>
      <c r="F20" s="132" t="s">
        <v>102</v>
      </c>
      <c r="G20" s="23" t="s">
        <v>84</v>
      </c>
      <c r="H20" s="24" t="s">
        <v>85</v>
      </c>
      <c r="K20" s="132" t="s">
        <v>102</v>
      </c>
      <c r="L20" s="23" t="s">
        <v>84</v>
      </c>
      <c r="M20" s="24" t="s">
        <v>85</v>
      </c>
      <c r="O20" s="7"/>
      <c r="P20" s="7"/>
      <c r="Q20" s="7"/>
      <c r="R20" s="7"/>
      <c r="S20" s="7"/>
    </row>
    <row r="21" spans="2:21" s="36" customFormat="1" x14ac:dyDescent="0.25">
      <c r="B21" s="102" t="s">
        <v>77</v>
      </c>
      <c r="C21" s="103">
        <f>SUMIF($C$28:$C$1048576,"Largecap",$D$28:$D$1048576)</f>
        <v>0</v>
      </c>
      <c r="D21" s="104">
        <f>IFERROR(C21/$C$24,0)</f>
        <v>0</v>
      </c>
      <c r="F21" s="105" t="s">
        <v>77</v>
      </c>
      <c r="G21" s="150">
        <f>SUMIFS($H$28:$H$405,$G$28:$G$405,F21)</f>
        <v>0</v>
      </c>
      <c r="H21" s="109">
        <f>IFERROR(G21/$G$25,0)</f>
        <v>0</v>
      </c>
      <c r="K21" s="105" t="s">
        <v>77</v>
      </c>
      <c r="L21" s="150">
        <f>SUMIFS($M$28:$M$405,$L$28:$L$405,K21)</f>
        <v>0</v>
      </c>
      <c r="M21" s="109">
        <f>IFERROR(L21/$L$25,0)</f>
        <v>0</v>
      </c>
      <c r="O21" s="155" t="s">
        <v>108</v>
      </c>
      <c r="P21" s="155" t="s">
        <v>109</v>
      </c>
      <c r="Q21" s="155" t="s">
        <v>110</v>
      </c>
      <c r="R21" s="155" t="s">
        <v>111</v>
      </c>
      <c r="S21" s="155" t="s">
        <v>112</v>
      </c>
      <c r="T21" s="152"/>
      <c r="U21" s="152"/>
    </row>
    <row r="22" spans="2:21" s="36" customFormat="1" x14ac:dyDescent="0.25">
      <c r="B22" s="96" t="s">
        <v>78</v>
      </c>
      <c r="C22" s="106">
        <f>SUMIF($C$28:$C$1048576,"Midcap",$D$28:$D$1048576)</f>
        <v>0</v>
      </c>
      <c r="D22" s="107">
        <f>IFERROR(C22/$C$24,0)</f>
        <v>0</v>
      </c>
      <c r="F22" s="108" t="s">
        <v>78</v>
      </c>
      <c r="G22" s="150">
        <f>SUMIFS($H$28:$H$405,$G$28:$G$405,F22)</f>
        <v>36524</v>
      </c>
      <c r="H22" s="109">
        <f t="shared" ref="H22:H24" si="0">IFERROR(G22/$G$25,0)</f>
        <v>0.36808900892911134</v>
      </c>
      <c r="K22" s="108" t="s">
        <v>78</v>
      </c>
      <c r="L22" s="150">
        <f t="shared" ref="L22:L24" si="1">SUMIFS($M$28:$M$405,$L$28:$L$405,K22)</f>
        <v>0</v>
      </c>
      <c r="M22" s="109">
        <f t="shared" ref="M22:M24" si="2">IFERROR(L22/$L$25,0)</f>
        <v>0</v>
      </c>
      <c r="O22" s="155" t="s">
        <v>77</v>
      </c>
      <c r="P22" s="156">
        <v>0.2</v>
      </c>
      <c r="Q22" s="156">
        <v>0.3</v>
      </c>
      <c r="R22" s="156">
        <v>0.4</v>
      </c>
      <c r="S22" s="156">
        <v>0.6</v>
      </c>
      <c r="T22" s="152"/>
      <c r="U22" s="152"/>
    </row>
    <row r="23" spans="2:21" s="36" customFormat="1" x14ac:dyDescent="0.25">
      <c r="B23" s="96" t="s">
        <v>79</v>
      </c>
      <c r="C23" s="106">
        <f>SUMIF($C$28:$C$1048576,"Smallcap",$D$28:$D$1048576)</f>
        <v>0</v>
      </c>
      <c r="D23" s="107">
        <f>IFERROR(C23/$C$24,0)</f>
        <v>0</v>
      </c>
      <c r="F23" s="108" t="s">
        <v>79</v>
      </c>
      <c r="G23" s="150">
        <f>SUMIFS($H$28:$H$405,$G$28:$G$405,F23)</f>
        <v>0</v>
      </c>
      <c r="H23" s="109">
        <f t="shared" si="0"/>
        <v>0</v>
      </c>
      <c r="K23" s="108" t="s">
        <v>79</v>
      </c>
      <c r="L23" s="150">
        <f t="shared" si="1"/>
        <v>0</v>
      </c>
      <c r="M23" s="109">
        <f t="shared" si="2"/>
        <v>0</v>
      </c>
      <c r="O23" s="155" t="s">
        <v>78</v>
      </c>
      <c r="P23" s="156">
        <v>0.3</v>
      </c>
      <c r="Q23" s="156">
        <v>0.2</v>
      </c>
      <c r="R23" s="156">
        <v>0.2</v>
      </c>
      <c r="S23" s="156">
        <v>0.19999999999999996</v>
      </c>
      <c r="T23" s="152"/>
      <c r="U23" s="152"/>
    </row>
    <row r="24" spans="2:21" s="36" customFormat="1" x14ac:dyDescent="0.25">
      <c r="B24" s="110" t="s">
        <v>25</v>
      </c>
      <c r="C24" s="111">
        <f>SUM(C21:C23)</f>
        <v>0</v>
      </c>
      <c r="D24" s="112">
        <f>SUM(D21:D23)</f>
        <v>0</v>
      </c>
      <c r="F24" s="108" t="s">
        <v>113</v>
      </c>
      <c r="G24" s="150">
        <f>SUMIFS($H$28:$H$405,$G$28:$G$405,F24)</f>
        <v>62702</v>
      </c>
      <c r="H24" s="109">
        <f t="shared" si="0"/>
        <v>0.63191099107088866</v>
      </c>
      <c r="K24" s="108" t="s">
        <v>113</v>
      </c>
      <c r="L24" s="150">
        <f t="shared" si="1"/>
        <v>4000</v>
      </c>
      <c r="M24" s="109">
        <f t="shared" si="2"/>
        <v>1</v>
      </c>
      <c r="O24" s="155" t="s">
        <v>79</v>
      </c>
      <c r="P24" s="156">
        <v>0.2</v>
      </c>
      <c r="Q24" s="156">
        <v>0.2</v>
      </c>
      <c r="R24" s="156">
        <v>0.1</v>
      </c>
      <c r="S24" s="156">
        <v>-2.7755575615628914E-17</v>
      </c>
      <c r="T24" s="152"/>
      <c r="U24" s="152"/>
    </row>
    <row r="25" spans="2:21" s="36" customFormat="1" x14ac:dyDescent="0.25">
      <c r="F25" s="113" t="s">
        <v>25</v>
      </c>
      <c r="G25" s="151">
        <f>SUM(G21:G24)</f>
        <v>99226</v>
      </c>
      <c r="H25" s="114">
        <f>SUM(H21:H24)</f>
        <v>1</v>
      </c>
      <c r="K25" s="113" t="s">
        <v>25</v>
      </c>
      <c r="L25" s="151">
        <f>SUM(L21:L24)</f>
        <v>4000</v>
      </c>
      <c r="M25" s="114">
        <f>SUM(M21:M24)</f>
        <v>1</v>
      </c>
      <c r="O25" s="155" t="s">
        <v>114</v>
      </c>
      <c r="P25" s="156">
        <v>0.3</v>
      </c>
      <c r="Q25" s="156">
        <v>0.3</v>
      </c>
      <c r="R25" s="156">
        <v>0.3</v>
      </c>
      <c r="S25" s="156">
        <v>0.2</v>
      </c>
    </row>
    <row r="26" spans="2:21" s="36" customFormat="1" x14ac:dyDescent="0.25">
      <c r="K26" s="139"/>
      <c r="L26" s="148"/>
      <c r="M26" s="140"/>
      <c r="N26" s="148"/>
    </row>
    <row r="27" spans="2:21" x14ac:dyDescent="0.25">
      <c r="B27" s="141" t="s">
        <v>75</v>
      </c>
      <c r="C27" s="141" t="s">
        <v>76</v>
      </c>
      <c r="D27" s="141" t="s">
        <v>81</v>
      </c>
      <c r="F27" s="141" t="s">
        <v>80</v>
      </c>
      <c r="G27" s="141" t="s">
        <v>76</v>
      </c>
      <c r="H27" s="141" t="s">
        <v>81</v>
      </c>
      <c r="K27" s="142" t="s">
        <v>86</v>
      </c>
      <c r="L27" s="141" t="s">
        <v>76</v>
      </c>
      <c r="M27" s="142" t="s">
        <v>82</v>
      </c>
      <c r="N27" s="154" t="s">
        <v>62</v>
      </c>
    </row>
    <row r="28" spans="2:21" x14ac:dyDescent="0.25">
      <c r="B28" s="143"/>
      <c r="C28" s="143"/>
      <c r="D28" s="144"/>
      <c r="E28" s="133"/>
      <c r="F28" s="143" t="s">
        <v>125</v>
      </c>
      <c r="G28" s="118" t="s">
        <v>113</v>
      </c>
      <c r="H28" s="144">
        <v>62702</v>
      </c>
      <c r="I28" s="133"/>
      <c r="J28" s="137"/>
      <c r="K28" s="143" t="s">
        <v>125</v>
      </c>
      <c r="L28" s="118" t="s">
        <v>113</v>
      </c>
      <c r="M28" s="144">
        <v>4000</v>
      </c>
      <c r="N28" s="145">
        <f>'Financial Goals'!M27</f>
        <v>4500</v>
      </c>
    </row>
    <row r="29" spans="2:21" x14ac:dyDescent="0.25">
      <c r="B29" s="143"/>
      <c r="C29" s="143"/>
      <c r="D29" s="144"/>
      <c r="E29" s="133"/>
      <c r="F29" s="143" t="s">
        <v>126</v>
      </c>
      <c r="G29" s="118" t="s">
        <v>127</v>
      </c>
      <c r="H29" s="144">
        <v>25631</v>
      </c>
      <c r="I29" s="133"/>
      <c r="J29" s="137"/>
      <c r="K29" s="143"/>
      <c r="L29" s="118"/>
      <c r="M29" s="144"/>
      <c r="N29" s="146" t="str">
        <f>IF(L25&gt;N28,"You don't have enough money","")</f>
        <v/>
      </c>
    </row>
    <row r="30" spans="2:21" x14ac:dyDescent="0.25">
      <c r="B30" s="143"/>
      <c r="C30" s="143"/>
      <c r="D30" s="144"/>
      <c r="E30" s="133"/>
      <c r="F30" s="143" t="s">
        <v>128</v>
      </c>
      <c r="G30" s="118" t="s">
        <v>127</v>
      </c>
      <c r="H30" s="144">
        <v>10893</v>
      </c>
      <c r="I30" s="133"/>
      <c r="J30" s="137"/>
      <c r="K30" s="143"/>
      <c r="L30" s="118"/>
      <c r="M30" s="144"/>
      <c r="N30" s="153"/>
    </row>
    <row r="31" spans="2:21" x14ac:dyDescent="0.25">
      <c r="B31" s="143"/>
      <c r="C31" s="143"/>
      <c r="D31" s="144"/>
      <c r="E31" s="133"/>
      <c r="F31" s="143"/>
      <c r="G31" s="118"/>
      <c r="H31" s="144"/>
      <c r="I31" s="133"/>
      <c r="J31" s="137"/>
      <c r="K31" s="143"/>
      <c r="L31" s="118"/>
      <c r="M31" s="144"/>
      <c r="N31" s="153"/>
      <c r="O31" s="153"/>
      <c r="Q31" s="136"/>
    </row>
    <row r="32" spans="2:21" x14ac:dyDescent="0.25">
      <c r="B32" s="143"/>
      <c r="C32" s="143"/>
      <c r="D32" s="144"/>
      <c r="E32" s="133"/>
      <c r="F32" s="143"/>
      <c r="G32" s="118"/>
      <c r="H32" s="144"/>
      <c r="I32" s="133"/>
      <c r="J32" s="137"/>
      <c r="K32" s="143"/>
      <c r="L32" s="118"/>
      <c r="M32" s="144"/>
      <c r="N32" s="153"/>
      <c r="O32" s="153"/>
      <c r="Q32" s="136"/>
    </row>
    <row r="33" spans="2:15" x14ac:dyDescent="0.25">
      <c r="B33" s="143"/>
      <c r="C33" s="143"/>
      <c r="D33" s="144"/>
      <c r="E33" s="133"/>
      <c r="F33" s="143"/>
      <c r="G33" s="118"/>
      <c r="H33" s="144"/>
      <c r="I33" s="133"/>
      <c r="J33" s="133"/>
      <c r="K33" s="143"/>
      <c r="L33" s="118"/>
      <c r="M33" s="144"/>
      <c r="N33" s="153"/>
      <c r="O33" s="153"/>
    </row>
    <row r="34" spans="2:15" x14ac:dyDescent="0.25">
      <c r="B34" s="143"/>
      <c r="C34" s="143"/>
      <c r="D34" s="144"/>
      <c r="E34" s="133"/>
      <c r="F34" s="143"/>
      <c r="G34" s="118"/>
      <c r="H34" s="144"/>
      <c r="I34" s="133"/>
      <c r="J34" s="133"/>
      <c r="K34" s="143"/>
      <c r="L34" s="118"/>
      <c r="M34" s="144"/>
      <c r="N34" s="153"/>
      <c r="O34" s="153"/>
    </row>
    <row r="35" spans="2:15" x14ac:dyDescent="0.25">
      <c r="B35" s="143"/>
      <c r="C35" s="143"/>
      <c r="D35" s="144"/>
      <c r="E35" s="133"/>
      <c r="F35" s="143"/>
      <c r="G35" s="118"/>
      <c r="H35" s="144"/>
      <c r="I35" s="133"/>
      <c r="J35" s="133"/>
      <c r="K35" s="143"/>
      <c r="L35" s="118"/>
      <c r="M35" s="144"/>
      <c r="N35" s="153"/>
      <c r="O35" s="153"/>
    </row>
    <row r="36" spans="2:15" x14ac:dyDescent="0.25">
      <c r="B36" s="143"/>
      <c r="C36" s="143"/>
      <c r="D36" s="144"/>
      <c r="E36" s="133"/>
      <c r="F36" s="143"/>
      <c r="G36" s="118"/>
      <c r="H36" s="144"/>
      <c r="I36" s="133"/>
      <c r="J36" s="137"/>
      <c r="K36" s="143"/>
      <c r="L36" s="118"/>
      <c r="M36" s="144"/>
      <c r="N36" s="153"/>
      <c r="O36" s="153"/>
    </row>
    <row r="37" spans="2:15" x14ac:dyDescent="0.25">
      <c r="B37" s="143"/>
      <c r="C37" s="143"/>
      <c r="D37" s="144"/>
      <c r="E37" s="133"/>
      <c r="F37" s="143"/>
      <c r="G37" s="118"/>
      <c r="H37" s="144"/>
      <c r="I37" s="133"/>
      <c r="J37" s="137"/>
      <c r="K37" s="143"/>
      <c r="L37" s="118"/>
      <c r="M37" s="144"/>
      <c r="N37" s="153"/>
      <c r="O37" s="153"/>
    </row>
    <row r="38" spans="2:15" x14ac:dyDescent="0.25">
      <c r="B38" s="143"/>
      <c r="C38" s="143"/>
      <c r="D38" s="144"/>
      <c r="E38" s="133"/>
      <c r="F38" s="143"/>
      <c r="G38" s="118"/>
      <c r="H38" s="144"/>
      <c r="I38" s="133"/>
      <c r="J38" s="137"/>
      <c r="K38" s="143"/>
      <c r="L38" s="118"/>
      <c r="M38" s="144"/>
      <c r="N38" s="153"/>
      <c r="O38" s="153"/>
    </row>
    <row r="39" spans="2:15" x14ac:dyDescent="0.25">
      <c r="B39" s="143"/>
      <c r="C39" s="143"/>
      <c r="D39" s="144"/>
      <c r="E39" s="133"/>
      <c r="F39" s="143"/>
      <c r="G39" s="118"/>
      <c r="H39" s="144"/>
      <c r="I39" s="133"/>
      <c r="J39" s="137"/>
      <c r="K39" s="143"/>
      <c r="L39" s="118"/>
      <c r="M39" s="144"/>
      <c r="N39" s="153"/>
      <c r="O39" s="153"/>
    </row>
    <row r="40" spans="2:15" x14ac:dyDescent="0.25">
      <c r="B40" s="143"/>
      <c r="C40" s="143"/>
      <c r="D40" s="144"/>
      <c r="E40" s="133"/>
      <c r="F40" s="143"/>
      <c r="G40" s="118"/>
      <c r="H40" s="144"/>
      <c r="I40" s="133"/>
      <c r="J40" s="137"/>
      <c r="K40" s="143"/>
      <c r="L40" s="118"/>
      <c r="M40" s="144"/>
      <c r="N40" s="153"/>
      <c r="O40" s="153"/>
    </row>
    <row r="41" spans="2:15" x14ac:dyDescent="0.25">
      <c r="B41" s="143"/>
      <c r="C41" s="143"/>
      <c r="D41" s="144"/>
      <c r="E41" s="133"/>
      <c r="F41" s="143"/>
      <c r="G41" s="118"/>
      <c r="H41" s="144"/>
      <c r="I41" s="133"/>
      <c r="J41" s="137"/>
      <c r="K41" s="143"/>
      <c r="L41" s="118"/>
      <c r="M41" s="144"/>
      <c r="N41" s="153"/>
      <c r="O41" s="153"/>
    </row>
    <row r="42" spans="2:15" x14ac:dyDescent="0.25">
      <c r="B42" s="143"/>
      <c r="C42" s="143"/>
      <c r="D42" s="144"/>
      <c r="E42" s="133"/>
      <c r="F42" s="143"/>
      <c r="G42" s="118"/>
      <c r="H42" s="144"/>
      <c r="I42" s="133"/>
      <c r="J42" s="137"/>
      <c r="K42" s="143"/>
      <c r="L42" s="118"/>
      <c r="M42" s="144"/>
      <c r="N42" s="153"/>
      <c r="O42" s="153"/>
    </row>
    <row r="43" spans="2:15" x14ac:dyDescent="0.25">
      <c r="B43" s="143"/>
      <c r="C43" s="143"/>
      <c r="D43" s="144"/>
      <c r="E43" s="133"/>
      <c r="F43" s="143"/>
      <c r="G43" s="118"/>
      <c r="H43" s="144"/>
      <c r="I43" s="133"/>
      <c r="J43" s="137"/>
      <c r="K43" s="143"/>
      <c r="L43" s="118"/>
      <c r="M43" s="144"/>
      <c r="N43" s="153"/>
      <c r="O43" s="153"/>
    </row>
    <row r="44" spans="2:15" x14ac:dyDescent="0.25">
      <c r="B44" s="143"/>
      <c r="C44" s="143"/>
      <c r="D44" s="144"/>
      <c r="E44" s="133"/>
      <c r="F44" s="143"/>
      <c r="G44" s="118"/>
      <c r="H44" s="144"/>
      <c r="I44" s="133"/>
      <c r="J44" s="137"/>
      <c r="K44" s="143"/>
      <c r="L44" s="118"/>
      <c r="M44" s="144"/>
      <c r="N44" s="153"/>
      <c r="O44" s="153"/>
    </row>
    <row r="45" spans="2:15" x14ac:dyDescent="0.25">
      <c r="B45" s="143"/>
      <c r="C45" s="143"/>
      <c r="D45" s="144"/>
      <c r="E45" s="133"/>
      <c r="F45" s="143"/>
      <c r="G45" s="118"/>
      <c r="H45" s="144"/>
      <c r="I45" s="133"/>
      <c r="J45" s="137"/>
      <c r="K45" s="143"/>
      <c r="L45" s="118"/>
      <c r="M45" s="144"/>
      <c r="N45" s="153"/>
      <c r="O45" s="153"/>
    </row>
    <row r="46" spans="2:15" x14ac:dyDescent="0.25">
      <c r="B46" s="143"/>
      <c r="C46" s="143"/>
      <c r="D46" s="144"/>
      <c r="E46" s="133"/>
      <c r="F46" s="143"/>
      <c r="G46" s="118"/>
      <c r="H46" s="144"/>
      <c r="I46" s="133"/>
      <c r="J46" s="137"/>
      <c r="K46" s="143"/>
      <c r="L46" s="118"/>
      <c r="M46" s="144"/>
      <c r="N46" s="153"/>
      <c r="O46" s="153"/>
    </row>
    <row r="47" spans="2:15" x14ac:dyDescent="0.25">
      <c r="B47" s="143"/>
      <c r="C47" s="143"/>
      <c r="D47" s="144"/>
      <c r="E47" s="133"/>
      <c r="F47" s="143"/>
      <c r="G47" s="118"/>
      <c r="H47" s="144"/>
      <c r="I47" s="133"/>
      <c r="J47" s="137"/>
      <c r="K47" s="143"/>
      <c r="L47" s="118"/>
      <c r="M47" s="144"/>
      <c r="N47" s="153"/>
      <c r="O47" s="153"/>
    </row>
    <row r="48" spans="2:15" x14ac:dyDescent="0.25">
      <c r="B48" s="143"/>
      <c r="C48" s="143"/>
      <c r="D48" s="144"/>
      <c r="E48" s="133"/>
      <c r="F48" s="143"/>
      <c r="G48" s="118"/>
      <c r="H48" s="144"/>
      <c r="I48" s="133"/>
      <c r="J48" s="137"/>
      <c r="K48" s="143"/>
      <c r="L48" s="118"/>
      <c r="M48" s="144"/>
      <c r="N48" s="153"/>
      <c r="O48" s="153"/>
    </row>
    <row r="49" spans="2:15" x14ac:dyDescent="0.25">
      <c r="B49" s="143"/>
      <c r="C49" s="143"/>
      <c r="D49" s="144"/>
      <c r="E49" s="133"/>
      <c r="F49" s="143"/>
      <c r="G49" s="118"/>
      <c r="H49" s="144"/>
      <c r="I49" s="133"/>
      <c r="J49" s="137"/>
      <c r="K49" s="143"/>
      <c r="L49" s="118"/>
      <c r="M49" s="144"/>
      <c r="N49" s="153"/>
      <c r="O49" s="153"/>
    </row>
    <row r="50" spans="2:15" x14ac:dyDescent="0.25">
      <c r="B50" s="143"/>
      <c r="C50" s="143"/>
      <c r="D50" s="144"/>
      <c r="E50" s="133"/>
      <c r="F50" s="143"/>
      <c r="G50" s="118"/>
      <c r="H50" s="144"/>
      <c r="I50" s="133"/>
      <c r="J50" s="137"/>
      <c r="K50" s="143"/>
      <c r="L50" s="118"/>
      <c r="M50" s="144"/>
      <c r="N50" s="153"/>
      <c r="O50" s="153"/>
    </row>
    <row r="51" spans="2:15" x14ac:dyDescent="0.25">
      <c r="B51" s="143"/>
      <c r="C51" s="143"/>
      <c r="D51" s="144"/>
      <c r="E51" s="133"/>
      <c r="F51" s="143"/>
      <c r="G51" s="118"/>
      <c r="H51" s="144"/>
      <c r="I51" s="133"/>
      <c r="J51" s="137"/>
      <c r="K51" s="143"/>
      <c r="L51" s="118"/>
      <c r="M51" s="144"/>
      <c r="N51" s="153"/>
      <c r="O51" s="153"/>
    </row>
    <row r="52" spans="2:15" x14ac:dyDescent="0.25">
      <c r="B52" s="143"/>
      <c r="C52" s="143"/>
      <c r="D52" s="144"/>
      <c r="E52" s="133"/>
      <c r="F52" s="143"/>
      <c r="G52" s="118"/>
      <c r="H52" s="144"/>
      <c r="I52" s="133"/>
      <c r="J52" s="137"/>
      <c r="K52" s="143"/>
      <c r="L52" s="118"/>
      <c r="M52" s="144"/>
      <c r="N52" s="153"/>
      <c r="O52" s="153"/>
    </row>
    <row r="53" spans="2:15" x14ac:dyDescent="0.25">
      <c r="B53" s="143"/>
      <c r="C53" s="143"/>
      <c r="D53" s="144"/>
      <c r="E53" s="133"/>
      <c r="F53" s="143"/>
      <c r="G53" s="118"/>
      <c r="H53" s="144"/>
      <c r="I53" s="133"/>
      <c r="J53" s="137"/>
      <c r="K53" s="143"/>
      <c r="L53" s="118"/>
      <c r="M53" s="144"/>
      <c r="N53" s="153"/>
      <c r="O53" s="153"/>
    </row>
    <row r="54" spans="2:15" x14ac:dyDescent="0.25">
      <c r="B54" s="143"/>
      <c r="C54" s="143"/>
      <c r="D54" s="144"/>
      <c r="E54" s="133"/>
      <c r="F54" s="143"/>
      <c r="G54" s="118"/>
      <c r="H54" s="144"/>
      <c r="I54" s="133"/>
      <c r="J54" s="137"/>
      <c r="K54" s="143"/>
      <c r="L54" s="118"/>
      <c r="M54" s="144"/>
      <c r="N54" s="153"/>
      <c r="O54" s="153"/>
    </row>
    <row r="55" spans="2:15" x14ac:dyDescent="0.25">
      <c r="B55" s="143"/>
      <c r="C55" s="143"/>
      <c r="D55" s="144"/>
      <c r="E55" s="133"/>
      <c r="F55" s="143"/>
      <c r="G55" s="118"/>
      <c r="H55" s="144"/>
      <c r="I55" s="133"/>
      <c r="J55" s="137"/>
      <c r="K55" s="143"/>
      <c r="L55" s="118"/>
      <c r="M55" s="144"/>
      <c r="N55" s="153"/>
      <c r="O55" s="153"/>
    </row>
    <row r="56" spans="2:15" x14ac:dyDescent="0.25">
      <c r="B56" s="143"/>
      <c r="C56" s="143"/>
      <c r="D56" s="144"/>
      <c r="E56" s="133"/>
      <c r="F56" s="143"/>
      <c r="G56" s="118"/>
      <c r="H56" s="144"/>
      <c r="I56" s="133"/>
      <c r="J56" s="137"/>
      <c r="K56" s="143"/>
      <c r="L56" s="118"/>
      <c r="M56" s="144"/>
      <c r="N56" s="153"/>
      <c r="O56" s="153"/>
    </row>
    <row r="57" spans="2:15" x14ac:dyDescent="0.25">
      <c r="B57" s="143"/>
      <c r="C57" s="143"/>
      <c r="D57" s="144"/>
      <c r="E57" s="133"/>
      <c r="F57" s="143"/>
      <c r="G57" s="118"/>
      <c r="H57" s="144"/>
      <c r="I57" s="133"/>
      <c r="J57" s="137"/>
      <c r="K57" s="143"/>
      <c r="L57" s="118"/>
      <c r="M57" s="144"/>
      <c r="N57" s="153"/>
      <c r="O57" s="153"/>
    </row>
    <row r="58" spans="2:15" x14ac:dyDescent="0.25">
      <c r="B58" s="143"/>
      <c r="C58" s="143"/>
      <c r="D58" s="144"/>
      <c r="E58" s="133"/>
      <c r="F58" s="143"/>
      <c r="G58" s="118"/>
      <c r="H58" s="144"/>
      <c r="I58" s="133"/>
      <c r="J58" s="137"/>
      <c r="K58" s="143"/>
      <c r="L58" s="118"/>
      <c r="M58" s="144"/>
      <c r="N58" s="153"/>
      <c r="O58" s="153"/>
    </row>
    <row r="59" spans="2:15" x14ac:dyDescent="0.25">
      <c r="B59" s="143"/>
      <c r="C59" s="143"/>
      <c r="D59" s="144"/>
      <c r="E59" s="133"/>
      <c r="F59" s="143"/>
      <c r="G59" s="118"/>
      <c r="H59" s="144"/>
      <c r="I59" s="133"/>
      <c r="J59" s="137"/>
      <c r="K59" s="143"/>
      <c r="L59" s="118"/>
      <c r="M59" s="144"/>
      <c r="N59" s="153"/>
      <c r="O59" s="153"/>
    </row>
    <row r="60" spans="2:15" x14ac:dyDescent="0.25">
      <c r="B60" s="143"/>
      <c r="C60" s="143"/>
      <c r="D60" s="144"/>
      <c r="E60" s="133"/>
      <c r="F60" s="143"/>
      <c r="G60" s="118"/>
      <c r="H60" s="144"/>
      <c r="I60" s="133"/>
      <c r="J60" s="137"/>
      <c r="K60" s="143"/>
      <c r="L60" s="118"/>
      <c r="M60" s="144"/>
      <c r="N60" s="153"/>
      <c r="O60" s="153"/>
    </row>
    <row r="61" spans="2:15" x14ac:dyDescent="0.25">
      <c r="B61" s="143"/>
      <c r="C61" s="143"/>
      <c r="D61" s="144"/>
      <c r="E61" s="133"/>
      <c r="F61" s="143"/>
      <c r="G61" s="118"/>
      <c r="H61" s="144"/>
      <c r="I61" s="133"/>
      <c r="J61" s="137"/>
      <c r="K61" s="143"/>
      <c r="L61" s="118"/>
      <c r="M61" s="144"/>
      <c r="N61" s="153"/>
      <c r="O61" s="153"/>
    </row>
    <row r="62" spans="2:15" x14ac:dyDescent="0.25">
      <c r="B62" s="143"/>
      <c r="C62" s="143"/>
      <c r="D62" s="144"/>
      <c r="E62" s="133"/>
      <c r="F62" s="143"/>
      <c r="G62" s="118"/>
      <c r="H62" s="144"/>
      <c r="I62" s="133"/>
      <c r="J62" s="137"/>
      <c r="K62" s="143"/>
      <c r="L62" s="118"/>
      <c r="M62" s="144"/>
      <c r="N62" s="153"/>
      <c r="O62" s="153"/>
    </row>
    <row r="63" spans="2:15" x14ac:dyDescent="0.25">
      <c r="B63" s="143"/>
      <c r="C63" s="143"/>
      <c r="D63" s="144"/>
      <c r="E63" s="133"/>
      <c r="F63" s="143"/>
      <c r="G63" s="118"/>
      <c r="H63" s="144"/>
      <c r="I63" s="133"/>
      <c r="J63" s="137"/>
      <c r="K63" s="143"/>
      <c r="L63" s="118"/>
      <c r="M63" s="144"/>
      <c r="N63" s="153"/>
      <c r="O63" s="153"/>
    </row>
    <row r="64" spans="2:15" x14ac:dyDescent="0.25">
      <c r="B64" s="143"/>
      <c r="C64" s="143"/>
      <c r="D64" s="144"/>
      <c r="E64" s="133"/>
      <c r="F64" s="143"/>
      <c r="G64" s="118"/>
      <c r="H64" s="144"/>
      <c r="I64" s="133"/>
      <c r="J64" s="137"/>
      <c r="K64" s="143"/>
      <c r="L64" s="118"/>
      <c r="M64" s="144"/>
      <c r="N64" s="153"/>
      <c r="O64" s="153"/>
    </row>
    <row r="65" spans="2:15" x14ac:dyDescent="0.25">
      <c r="B65" s="143"/>
      <c r="C65" s="143"/>
      <c r="D65" s="144"/>
      <c r="E65" s="133"/>
      <c r="F65" s="143"/>
      <c r="G65" s="118"/>
      <c r="H65" s="144"/>
      <c r="I65" s="133"/>
      <c r="J65" s="137"/>
      <c r="K65" s="143"/>
      <c r="L65" s="118"/>
      <c r="M65" s="144"/>
      <c r="N65" s="153"/>
      <c r="O65" s="153"/>
    </row>
    <row r="66" spans="2:15" x14ac:dyDescent="0.25">
      <c r="B66" s="143"/>
      <c r="C66" s="143"/>
      <c r="D66" s="144"/>
      <c r="E66" s="133"/>
      <c r="F66" s="143"/>
      <c r="G66" s="118"/>
      <c r="H66" s="144"/>
      <c r="I66" s="133"/>
      <c r="J66" s="137"/>
      <c r="K66" s="143"/>
      <c r="L66" s="118"/>
      <c r="M66" s="144"/>
      <c r="N66" s="153"/>
      <c r="O66" s="153"/>
    </row>
    <row r="67" spans="2:15" x14ac:dyDescent="0.25">
      <c r="B67" s="143"/>
      <c r="C67" s="143"/>
      <c r="D67" s="144"/>
      <c r="E67" s="133"/>
      <c r="F67" s="143"/>
      <c r="G67" s="118"/>
      <c r="H67" s="144"/>
      <c r="I67" s="133"/>
      <c r="J67" s="137"/>
      <c r="K67" s="143"/>
      <c r="L67" s="118"/>
      <c r="M67" s="144"/>
      <c r="N67" s="153"/>
      <c r="O67" s="153"/>
    </row>
    <row r="68" spans="2:15" x14ac:dyDescent="0.25">
      <c r="B68" s="143"/>
      <c r="C68" s="143"/>
      <c r="D68" s="144"/>
      <c r="E68" s="133"/>
      <c r="F68" s="143"/>
      <c r="G68" s="118"/>
      <c r="H68" s="144"/>
      <c r="I68" s="133"/>
      <c r="J68" s="137"/>
      <c r="K68" s="143"/>
      <c r="L68" s="118"/>
      <c r="M68" s="144"/>
      <c r="N68" s="153"/>
      <c r="O68" s="153"/>
    </row>
    <row r="69" spans="2:15" x14ac:dyDescent="0.25">
      <c r="B69" s="143"/>
      <c r="C69" s="143"/>
      <c r="D69" s="144"/>
      <c r="E69" s="133"/>
      <c r="F69" s="143"/>
      <c r="G69" s="118"/>
      <c r="H69" s="144"/>
      <c r="I69" s="133"/>
      <c r="J69" s="137"/>
      <c r="K69" s="143"/>
      <c r="L69" s="118"/>
      <c r="M69" s="144"/>
      <c r="N69" s="153"/>
      <c r="O69" s="153"/>
    </row>
    <row r="70" spans="2:15" x14ac:dyDescent="0.25">
      <c r="B70" s="143"/>
      <c r="C70" s="143"/>
      <c r="D70" s="144"/>
      <c r="E70" s="133"/>
      <c r="F70" s="143"/>
      <c r="G70" s="118"/>
      <c r="H70" s="144"/>
      <c r="I70" s="133"/>
      <c r="J70" s="137"/>
      <c r="K70" s="143"/>
      <c r="L70" s="118"/>
      <c r="M70" s="144"/>
      <c r="N70" s="153"/>
      <c r="O70" s="153"/>
    </row>
    <row r="71" spans="2:15" x14ac:dyDescent="0.25">
      <c r="B71" s="143"/>
      <c r="C71" s="143"/>
      <c r="D71" s="144"/>
      <c r="E71" s="133"/>
      <c r="F71" s="143"/>
      <c r="G71" s="118"/>
      <c r="H71" s="144"/>
      <c r="I71" s="133"/>
      <c r="J71" s="137"/>
      <c r="K71" s="143"/>
      <c r="L71" s="118"/>
      <c r="M71" s="144"/>
      <c r="N71" s="153"/>
      <c r="O71" s="153"/>
    </row>
    <row r="72" spans="2:15" x14ac:dyDescent="0.25">
      <c r="B72" s="143"/>
      <c r="C72" s="143"/>
      <c r="D72" s="144"/>
      <c r="E72" s="133"/>
      <c r="F72" s="143"/>
      <c r="G72" s="118"/>
      <c r="H72" s="144"/>
      <c r="I72" s="133"/>
      <c r="J72" s="137"/>
      <c r="K72" s="143"/>
      <c r="L72" s="118"/>
      <c r="M72" s="144"/>
      <c r="N72" s="153"/>
      <c r="O72" s="153"/>
    </row>
    <row r="73" spans="2:15" x14ac:dyDescent="0.25">
      <c r="B73" s="143"/>
      <c r="C73" s="143"/>
      <c r="D73" s="144"/>
      <c r="E73" s="133"/>
      <c r="F73" s="143"/>
      <c r="G73" s="118"/>
      <c r="H73" s="144"/>
      <c r="I73" s="133"/>
      <c r="J73" s="137"/>
      <c r="K73" s="143"/>
      <c r="L73" s="118"/>
      <c r="M73" s="144"/>
      <c r="N73" s="153"/>
      <c r="O73" s="153"/>
    </row>
    <row r="74" spans="2:15" x14ac:dyDescent="0.25">
      <c r="B74" s="143"/>
      <c r="C74" s="143"/>
      <c r="D74" s="144"/>
      <c r="E74" s="133"/>
      <c r="F74" s="143"/>
      <c r="G74" s="118"/>
      <c r="H74" s="144"/>
      <c r="I74" s="133"/>
      <c r="J74" s="137"/>
      <c r="K74" s="143"/>
      <c r="L74" s="118"/>
      <c r="M74" s="144"/>
      <c r="N74" s="153"/>
      <c r="O74" s="153"/>
    </row>
    <row r="75" spans="2:15" x14ac:dyDescent="0.25">
      <c r="B75" s="143"/>
      <c r="C75" s="143"/>
      <c r="D75" s="144"/>
      <c r="E75" s="133"/>
      <c r="F75" s="143"/>
      <c r="G75" s="118"/>
      <c r="H75" s="144"/>
      <c r="I75" s="133"/>
      <c r="J75" s="137"/>
      <c r="K75" s="143"/>
      <c r="L75" s="118"/>
      <c r="M75" s="144"/>
      <c r="N75" s="153"/>
      <c r="O75" s="153"/>
    </row>
    <row r="76" spans="2:15" x14ac:dyDescent="0.25">
      <c r="B76" s="143"/>
      <c r="C76" s="143"/>
      <c r="D76" s="144"/>
      <c r="E76" s="133"/>
      <c r="F76" s="143"/>
      <c r="G76" s="118"/>
      <c r="H76" s="144"/>
      <c r="I76" s="133"/>
      <c r="J76" s="137"/>
      <c r="K76" s="143"/>
      <c r="L76" s="118"/>
      <c r="M76" s="144"/>
      <c r="N76" s="153"/>
      <c r="O76" s="153"/>
    </row>
    <row r="77" spans="2:15" x14ac:dyDescent="0.25">
      <c r="B77" s="143"/>
      <c r="C77" s="143"/>
      <c r="D77" s="144"/>
      <c r="E77" s="133"/>
      <c r="F77" s="143"/>
      <c r="G77" s="118"/>
      <c r="H77" s="144"/>
      <c r="I77" s="133"/>
      <c r="J77" s="137"/>
      <c r="K77" s="143"/>
      <c r="L77" s="118"/>
      <c r="M77" s="144"/>
      <c r="N77" s="153"/>
      <c r="O77" s="153"/>
    </row>
    <row r="78" spans="2:15" x14ac:dyDescent="0.25">
      <c r="B78" s="143"/>
      <c r="C78" s="143"/>
      <c r="D78" s="144"/>
      <c r="E78" s="133"/>
      <c r="F78" s="143"/>
      <c r="G78" s="118"/>
      <c r="H78" s="144"/>
      <c r="I78" s="133"/>
      <c r="J78" s="137"/>
      <c r="K78" s="143"/>
      <c r="L78" s="118"/>
      <c r="M78" s="144"/>
      <c r="N78" s="153"/>
      <c r="O78" s="153"/>
    </row>
    <row r="79" spans="2:15" x14ac:dyDescent="0.25">
      <c r="B79" s="143"/>
      <c r="C79" s="143"/>
      <c r="D79" s="144"/>
      <c r="E79" s="133"/>
      <c r="F79" s="143"/>
      <c r="G79" s="118"/>
      <c r="H79" s="144"/>
      <c r="I79" s="133"/>
      <c r="J79" s="137"/>
      <c r="K79" s="143"/>
      <c r="L79" s="118"/>
      <c r="M79" s="144"/>
      <c r="N79" s="153"/>
      <c r="O79" s="153"/>
    </row>
    <row r="80" spans="2:15" x14ac:dyDescent="0.25">
      <c r="B80" s="143"/>
      <c r="C80" s="143"/>
      <c r="D80" s="144"/>
      <c r="E80" s="133"/>
      <c r="F80" s="143"/>
      <c r="G80" s="118"/>
      <c r="H80" s="144"/>
      <c r="I80" s="133"/>
      <c r="J80" s="137"/>
      <c r="K80" s="143"/>
      <c r="L80" s="118"/>
      <c r="M80" s="144"/>
      <c r="N80" s="153"/>
      <c r="O80" s="153"/>
    </row>
    <row r="81" spans="2:15" x14ac:dyDescent="0.25">
      <c r="B81" s="143"/>
      <c r="C81" s="143"/>
      <c r="D81" s="144"/>
      <c r="E81" s="133"/>
      <c r="F81" s="143"/>
      <c r="G81" s="118"/>
      <c r="H81" s="144"/>
      <c r="I81" s="133"/>
      <c r="J81" s="137"/>
      <c r="K81" s="143"/>
      <c r="L81" s="118"/>
      <c r="M81" s="144"/>
      <c r="N81" s="153"/>
      <c r="O81" s="153"/>
    </row>
    <row r="82" spans="2:15" x14ac:dyDescent="0.25">
      <c r="B82" s="143"/>
      <c r="C82" s="143"/>
      <c r="D82" s="144"/>
      <c r="E82" s="133"/>
      <c r="F82" s="143"/>
      <c r="G82" s="118"/>
      <c r="H82" s="144"/>
      <c r="I82" s="133"/>
      <c r="J82" s="137"/>
      <c r="K82" s="143"/>
      <c r="L82" s="118"/>
      <c r="M82" s="144"/>
      <c r="N82" s="153"/>
      <c r="O82" s="153"/>
    </row>
    <row r="83" spans="2:15" x14ac:dyDescent="0.25">
      <c r="B83" s="143"/>
      <c r="C83" s="143"/>
      <c r="D83" s="144"/>
      <c r="E83" s="133"/>
      <c r="F83" s="143"/>
      <c r="G83" s="118"/>
      <c r="H83" s="144"/>
      <c r="I83" s="133"/>
      <c r="J83" s="137"/>
      <c r="K83" s="143"/>
      <c r="L83" s="118"/>
      <c r="M83" s="144"/>
      <c r="N83" s="153"/>
      <c r="O83" s="153"/>
    </row>
    <row r="84" spans="2:15" x14ac:dyDescent="0.25">
      <c r="B84" s="143"/>
      <c r="C84" s="143"/>
      <c r="D84" s="144"/>
      <c r="E84" s="133"/>
      <c r="F84" s="143"/>
      <c r="G84" s="118"/>
      <c r="H84" s="144"/>
      <c r="I84" s="133"/>
      <c r="J84" s="137"/>
      <c r="K84" s="143"/>
      <c r="L84" s="118"/>
      <c r="M84" s="144"/>
      <c r="N84" s="153"/>
      <c r="O84" s="153"/>
    </row>
    <row r="85" spans="2:15" x14ac:dyDescent="0.25">
      <c r="B85" s="143"/>
      <c r="C85" s="143"/>
      <c r="D85" s="144"/>
      <c r="E85" s="133"/>
      <c r="F85" s="143"/>
      <c r="G85" s="118"/>
      <c r="H85" s="144"/>
      <c r="I85" s="133"/>
      <c r="J85" s="137"/>
      <c r="K85" s="143"/>
      <c r="L85" s="118"/>
      <c r="M85" s="144"/>
      <c r="N85" s="153"/>
      <c r="O85" s="153"/>
    </row>
    <row r="86" spans="2:15" x14ac:dyDescent="0.25">
      <c r="B86" s="143"/>
      <c r="C86" s="143"/>
      <c r="D86" s="144"/>
      <c r="E86" s="133"/>
      <c r="F86" s="143"/>
      <c r="G86" s="118"/>
      <c r="H86" s="144"/>
      <c r="I86" s="133"/>
      <c r="J86" s="137"/>
      <c r="K86" s="143"/>
      <c r="L86" s="118"/>
      <c r="M86" s="144"/>
      <c r="N86" s="153"/>
      <c r="O86" s="153"/>
    </row>
    <row r="87" spans="2:15" x14ac:dyDescent="0.25">
      <c r="B87" s="143"/>
      <c r="C87" s="143"/>
      <c r="D87" s="144"/>
      <c r="E87" s="133"/>
      <c r="F87" s="143"/>
      <c r="G87" s="118"/>
      <c r="H87" s="144"/>
      <c r="I87" s="133"/>
      <c r="J87" s="137"/>
      <c r="K87" s="143"/>
      <c r="L87" s="118"/>
      <c r="M87" s="144"/>
      <c r="N87" s="153"/>
      <c r="O87" s="153"/>
    </row>
    <row r="88" spans="2:15" x14ac:dyDescent="0.25">
      <c r="B88" s="143"/>
      <c r="C88" s="143"/>
      <c r="D88" s="144"/>
      <c r="E88" s="133"/>
      <c r="F88" s="143"/>
      <c r="G88" s="118"/>
      <c r="H88" s="144"/>
      <c r="I88" s="133"/>
      <c r="J88" s="137"/>
      <c r="K88" s="143"/>
      <c r="L88" s="118"/>
      <c r="M88" s="144"/>
      <c r="N88" s="153"/>
      <c r="O88" s="153"/>
    </row>
    <row r="89" spans="2:15" x14ac:dyDescent="0.25">
      <c r="B89" s="143"/>
      <c r="C89" s="143"/>
      <c r="D89" s="144"/>
      <c r="E89" s="133"/>
      <c r="F89" s="143"/>
      <c r="G89" s="118"/>
      <c r="H89" s="144"/>
      <c r="I89" s="133"/>
      <c r="J89" s="137"/>
      <c r="K89" s="143"/>
      <c r="L89" s="118"/>
      <c r="M89" s="144"/>
      <c r="N89" s="153"/>
      <c r="O89" s="153"/>
    </row>
    <row r="90" spans="2:15" x14ac:dyDescent="0.25">
      <c r="B90" s="143"/>
      <c r="C90" s="143"/>
      <c r="D90" s="144"/>
      <c r="E90" s="133"/>
      <c r="F90" s="143"/>
      <c r="G90" s="118"/>
      <c r="H90" s="144"/>
      <c r="I90" s="133"/>
      <c r="J90" s="137"/>
      <c r="K90" s="143"/>
      <c r="L90" s="118"/>
      <c r="M90" s="144"/>
      <c r="N90" s="153"/>
      <c r="O90" s="153"/>
    </row>
    <row r="91" spans="2:15" x14ac:dyDescent="0.25">
      <c r="B91" s="143"/>
      <c r="C91" s="143"/>
      <c r="D91" s="144"/>
      <c r="E91" s="133"/>
      <c r="F91" s="143"/>
      <c r="G91" s="118"/>
      <c r="H91" s="144"/>
      <c r="I91" s="133"/>
      <c r="J91" s="137"/>
      <c r="K91" s="143"/>
      <c r="L91" s="118"/>
      <c r="M91" s="144"/>
      <c r="N91" s="153"/>
      <c r="O91" s="153"/>
    </row>
    <row r="92" spans="2:15" x14ac:dyDescent="0.25">
      <c r="B92" s="143"/>
      <c r="C92" s="143"/>
      <c r="D92" s="144"/>
      <c r="E92" s="133"/>
      <c r="F92" s="143"/>
      <c r="G92" s="118"/>
      <c r="H92" s="144"/>
      <c r="I92" s="133"/>
      <c r="J92" s="137"/>
      <c r="K92" s="143"/>
      <c r="L92" s="118"/>
      <c r="M92" s="144"/>
      <c r="N92" s="153"/>
      <c r="O92" s="153"/>
    </row>
    <row r="93" spans="2:15" x14ac:dyDescent="0.25">
      <c r="B93" s="143"/>
      <c r="C93" s="143"/>
      <c r="D93" s="144"/>
      <c r="E93" s="133"/>
      <c r="F93" s="143"/>
      <c r="G93" s="118"/>
      <c r="H93" s="144"/>
      <c r="I93" s="133"/>
      <c r="J93" s="137"/>
      <c r="K93" s="143"/>
      <c r="L93" s="118"/>
      <c r="M93" s="144"/>
      <c r="N93" s="153"/>
      <c r="O93" s="153"/>
    </row>
    <row r="94" spans="2:15" x14ac:dyDescent="0.25">
      <c r="B94" s="143"/>
      <c r="C94" s="143"/>
      <c r="D94" s="144"/>
      <c r="E94" s="133"/>
      <c r="F94" s="143"/>
      <c r="G94" s="118"/>
      <c r="H94" s="144"/>
      <c r="I94" s="133"/>
      <c r="J94" s="137"/>
      <c r="K94" s="143"/>
      <c r="L94" s="118"/>
      <c r="M94" s="144"/>
      <c r="N94" s="153"/>
      <c r="O94" s="153"/>
    </row>
    <row r="95" spans="2:15" x14ac:dyDescent="0.25">
      <c r="B95" s="143"/>
      <c r="C95" s="143"/>
      <c r="D95" s="144"/>
      <c r="E95" s="133"/>
      <c r="F95" s="143"/>
      <c r="G95" s="118"/>
      <c r="H95" s="144"/>
      <c r="I95" s="133"/>
      <c r="J95" s="137"/>
      <c r="K95" s="143"/>
      <c r="L95" s="118"/>
      <c r="M95" s="144"/>
      <c r="N95" s="153"/>
      <c r="O95" s="153"/>
    </row>
    <row r="96" spans="2:15" x14ac:dyDescent="0.25">
      <c r="B96" s="143"/>
      <c r="C96" s="143"/>
      <c r="D96" s="144"/>
      <c r="E96" s="133"/>
      <c r="F96" s="143"/>
      <c r="G96" s="118"/>
      <c r="H96" s="144"/>
      <c r="I96" s="133"/>
      <c r="J96" s="137"/>
      <c r="K96" s="143"/>
      <c r="L96" s="118"/>
      <c r="M96" s="144"/>
      <c r="N96" s="153"/>
      <c r="O96" s="153"/>
    </row>
    <row r="97" spans="2:15" x14ac:dyDescent="0.25">
      <c r="B97" s="143"/>
      <c r="C97" s="143"/>
      <c r="D97" s="144"/>
      <c r="E97" s="133"/>
      <c r="F97" s="143"/>
      <c r="G97" s="118"/>
      <c r="H97" s="144"/>
      <c r="I97" s="133"/>
      <c r="J97" s="137"/>
      <c r="K97" s="143"/>
      <c r="L97" s="118"/>
      <c r="M97" s="144"/>
      <c r="N97" s="153"/>
      <c r="O97" s="153"/>
    </row>
    <row r="98" spans="2:15" x14ac:dyDescent="0.25">
      <c r="B98" s="143"/>
      <c r="C98" s="143"/>
      <c r="D98" s="144"/>
      <c r="E98" s="133"/>
      <c r="F98" s="143"/>
      <c r="G98" s="118"/>
      <c r="H98" s="144"/>
      <c r="I98" s="133"/>
      <c r="J98" s="137"/>
      <c r="K98" s="143"/>
      <c r="L98" s="118"/>
      <c r="M98" s="144"/>
      <c r="N98" s="153"/>
      <c r="O98" s="153"/>
    </row>
    <row r="99" spans="2:15" x14ac:dyDescent="0.25">
      <c r="B99" s="143"/>
      <c r="C99" s="143"/>
      <c r="D99" s="144"/>
      <c r="E99" s="133"/>
      <c r="F99" s="143"/>
      <c r="G99" s="118"/>
      <c r="H99" s="144"/>
      <c r="I99" s="133"/>
      <c r="J99" s="137"/>
      <c r="K99" s="143"/>
      <c r="L99" s="118"/>
      <c r="M99" s="144"/>
      <c r="N99" s="153"/>
      <c r="O99" s="153"/>
    </row>
    <row r="100" spans="2:15" x14ac:dyDescent="0.25">
      <c r="B100" s="143"/>
      <c r="C100" s="143"/>
      <c r="D100" s="144"/>
      <c r="E100" s="133"/>
      <c r="F100" s="143"/>
      <c r="G100" s="118"/>
      <c r="H100" s="144"/>
      <c r="I100" s="133"/>
      <c r="J100" s="137"/>
      <c r="K100" s="143"/>
      <c r="L100" s="118"/>
      <c r="M100" s="144"/>
      <c r="N100" s="153"/>
      <c r="O100" s="153"/>
    </row>
    <row r="101" spans="2:15" x14ac:dyDescent="0.25">
      <c r="B101" s="143"/>
      <c r="C101" s="143"/>
      <c r="D101" s="144"/>
      <c r="E101" s="133"/>
      <c r="F101" s="143"/>
      <c r="G101" s="118"/>
      <c r="H101" s="144"/>
      <c r="I101" s="133"/>
      <c r="J101" s="137"/>
      <c r="K101" s="143"/>
      <c r="L101" s="118"/>
      <c r="M101" s="144"/>
      <c r="N101" s="153"/>
      <c r="O101" s="153"/>
    </row>
    <row r="102" spans="2:15" x14ac:dyDescent="0.25">
      <c r="B102" s="143"/>
      <c r="C102" s="143"/>
      <c r="D102" s="144"/>
      <c r="E102" s="133"/>
      <c r="F102" s="143"/>
      <c r="G102" s="118"/>
      <c r="H102" s="144"/>
      <c r="I102" s="133"/>
      <c r="J102" s="137"/>
      <c r="K102" s="143"/>
      <c r="L102" s="118"/>
      <c r="M102" s="144"/>
      <c r="N102" s="153"/>
      <c r="O102" s="153"/>
    </row>
    <row r="103" spans="2:15" x14ac:dyDescent="0.25">
      <c r="B103" s="143"/>
      <c r="C103" s="143"/>
      <c r="D103" s="144"/>
      <c r="E103" s="133"/>
      <c r="F103" s="143"/>
      <c r="G103" s="118"/>
      <c r="H103" s="144"/>
      <c r="I103" s="133"/>
      <c r="J103" s="137"/>
      <c r="K103" s="143"/>
      <c r="L103" s="118"/>
      <c r="M103" s="144"/>
      <c r="N103" s="153"/>
      <c r="O103" s="153"/>
    </row>
    <row r="104" spans="2:15" x14ac:dyDescent="0.25">
      <c r="B104" s="143"/>
      <c r="C104" s="143"/>
      <c r="D104" s="144"/>
      <c r="E104" s="133"/>
      <c r="F104" s="143"/>
      <c r="G104" s="118"/>
      <c r="H104" s="144"/>
      <c r="I104" s="133"/>
      <c r="J104" s="137"/>
      <c r="K104" s="143"/>
      <c r="L104" s="118"/>
      <c r="M104" s="144"/>
      <c r="N104" s="153"/>
      <c r="O104" s="153"/>
    </row>
    <row r="105" spans="2:15" x14ac:dyDescent="0.25">
      <c r="B105" s="143"/>
      <c r="C105" s="143"/>
      <c r="D105" s="144"/>
      <c r="E105" s="133"/>
      <c r="F105" s="143"/>
      <c r="G105" s="118"/>
      <c r="H105" s="144"/>
      <c r="I105" s="133"/>
      <c r="J105" s="137"/>
      <c r="K105" s="143"/>
      <c r="L105" s="118"/>
      <c r="M105" s="144"/>
      <c r="N105" s="153"/>
      <c r="O105" s="153"/>
    </row>
    <row r="106" spans="2:15" x14ac:dyDescent="0.25">
      <c r="B106" s="143"/>
      <c r="C106" s="143"/>
      <c r="D106" s="144"/>
      <c r="E106" s="133"/>
      <c r="F106" s="143"/>
      <c r="G106" s="118"/>
      <c r="H106" s="144"/>
      <c r="I106" s="133"/>
      <c r="J106" s="137"/>
      <c r="K106" s="143"/>
      <c r="L106" s="118"/>
      <c r="M106" s="144"/>
      <c r="N106" s="153"/>
      <c r="O106" s="153"/>
    </row>
    <row r="107" spans="2:15" x14ac:dyDescent="0.25">
      <c r="B107" s="143"/>
      <c r="C107" s="143"/>
      <c r="D107" s="144"/>
      <c r="E107" s="133"/>
      <c r="F107" s="143"/>
      <c r="G107" s="118"/>
      <c r="H107" s="144"/>
      <c r="I107" s="133"/>
      <c r="J107" s="137"/>
      <c r="K107" s="143"/>
      <c r="L107" s="118"/>
      <c r="M107" s="144"/>
      <c r="N107" s="153"/>
      <c r="O107" s="153"/>
    </row>
    <row r="108" spans="2:15" x14ac:dyDescent="0.25">
      <c r="B108" s="143"/>
      <c r="C108" s="143"/>
      <c r="D108" s="144"/>
      <c r="E108" s="133"/>
      <c r="F108" s="143"/>
      <c r="G108" s="118"/>
      <c r="H108" s="144"/>
      <c r="I108" s="133"/>
      <c r="J108" s="137"/>
      <c r="K108" s="143"/>
      <c r="L108" s="118"/>
      <c r="M108" s="144"/>
      <c r="N108" s="153"/>
      <c r="O108" s="153"/>
    </row>
    <row r="109" spans="2:15" x14ac:dyDescent="0.25">
      <c r="B109" s="143"/>
      <c r="C109" s="143"/>
      <c r="D109" s="144"/>
      <c r="E109" s="133"/>
      <c r="F109" s="143"/>
      <c r="G109" s="118"/>
      <c r="H109" s="144"/>
      <c r="I109" s="133"/>
      <c r="J109" s="137"/>
      <c r="K109" s="143"/>
      <c r="L109" s="118"/>
      <c r="M109" s="144"/>
      <c r="N109" s="153"/>
      <c r="O109" s="153"/>
    </row>
    <row r="110" spans="2:15" x14ac:dyDescent="0.25">
      <c r="B110" s="143"/>
      <c r="C110" s="143"/>
      <c r="D110" s="144"/>
      <c r="E110" s="133"/>
      <c r="F110" s="143"/>
      <c r="G110" s="118"/>
      <c r="H110" s="144"/>
      <c r="I110" s="133"/>
      <c r="J110" s="137"/>
      <c r="K110" s="143"/>
      <c r="L110" s="118"/>
      <c r="M110" s="144"/>
      <c r="N110" s="153"/>
      <c r="O110" s="153"/>
    </row>
    <row r="111" spans="2:15" x14ac:dyDescent="0.25">
      <c r="B111" s="143"/>
      <c r="C111" s="143"/>
      <c r="D111" s="144"/>
      <c r="E111" s="133"/>
      <c r="F111" s="143"/>
      <c r="G111" s="118"/>
      <c r="H111" s="144"/>
      <c r="I111" s="133"/>
      <c r="J111" s="137"/>
      <c r="K111" s="143"/>
      <c r="L111" s="118"/>
      <c r="M111" s="144"/>
      <c r="N111" s="153"/>
      <c r="O111" s="153"/>
    </row>
    <row r="112" spans="2:15" x14ac:dyDescent="0.25">
      <c r="B112" s="143"/>
      <c r="C112" s="143"/>
      <c r="D112" s="144"/>
      <c r="E112" s="133"/>
      <c r="F112" s="143"/>
      <c r="G112" s="118"/>
      <c r="H112" s="144"/>
      <c r="I112" s="133"/>
      <c r="J112" s="137"/>
      <c r="K112" s="143"/>
      <c r="L112" s="118"/>
      <c r="M112" s="144"/>
      <c r="N112" s="153"/>
      <c r="O112" s="153"/>
    </row>
    <row r="113" spans="2:15" x14ac:dyDescent="0.25">
      <c r="B113" s="143"/>
      <c r="C113" s="143"/>
      <c r="D113" s="144"/>
      <c r="E113" s="133"/>
      <c r="F113" s="143"/>
      <c r="G113" s="118"/>
      <c r="H113" s="144"/>
      <c r="I113" s="133"/>
      <c r="J113" s="137"/>
      <c r="K113" s="143"/>
      <c r="L113" s="118"/>
      <c r="M113" s="144"/>
      <c r="N113" s="153"/>
      <c r="O113" s="153"/>
    </row>
    <row r="114" spans="2:15" x14ac:dyDescent="0.25">
      <c r="B114" s="143"/>
      <c r="C114" s="143"/>
      <c r="D114" s="144"/>
      <c r="E114" s="133"/>
      <c r="F114" s="143"/>
      <c r="G114" s="118"/>
      <c r="H114" s="144"/>
      <c r="I114" s="133"/>
      <c r="J114" s="137"/>
      <c r="K114" s="143"/>
      <c r="L114" s="118"/>
      <c r="M114" s="144"/>
      <c r="N114" s="153"/>
      <c r="O114" s="153"/>
    </row>
    <row r="115" spans="2:15" x14ac:dyDescent="0.25">
      <c r="B115" s="143"/>
      <c r="C115" s="143"/>
      <c r="D115" s="144"/>
      <c r="E115" s="133"/>
      <c r="F115" s="143"/>
      <c r="G115" s="118"/>
      <c r="H115" s="144"/>
      <c r="I115" s="133"/>
      <c r="J115" s="137"/>
      <c r="K115" s="143"/>
      <c r="L115" s="118"/>
      <c r="M115" s="144"/>
      <c r="N115" s="153"/>
      <c r="O115" s="153"/>
    </row>
    <row r="116" spans="2:15" x14ac:dyDescent="0.25">
      <c r="B116" s="143"/>
      <c r="C116" s="143"/>
      <c r="D116" s="144"/>
      <c r="E116" s="133"/>
      <c r="F116" s="143"/>
      <c r="G116" s="118"/>
      <c r="H116" s="144"/>
      <c r="I116" s="133"/>
      <c r="J116" s="137"/>
      <c r="K116" s="143"/>
      <c r="L116" s="118"/>
      <c r="M116" s="144"/>
      <c r="N116" s="153"/>
      <c r="O116" s="153"/>
    </row>
    <row r="117" spans="2:15" x14ac:dyDescent="0.25">
      <c r="B117" s="143"/>
      <c r="C117" s="143"/>
      <c r="D117" s="144"/>
      <c r="E117" s="133"/>
      <c r="F117" s="143"/>
      <c r="G117" s="118"/>
      <c r="H117" s="144"/>
      <c r="I117" s="133"/>
      <c r="J117" s="137"/>
      <c r="K117" s="143"/>
      <c r="L117" s="118"/>
      <c r="M117" s="144"/>
      <c r="N117" s="153"/>
      <c r="O117" s="153"/>
    </row>
    <row r="118" spans="2:15" x14ac:dyDescent="0.25">
      <c r="B118" s="143"/>
      <c r="C118" s="143"/>
      <c r="D118" s="144"/>
      <c r="E118" s="133"/>
      <c r="F118" s="143"/>
      <c r="G118" s="118"/>
      <c r="H118" s="144"/>
      <c r="I118" s="133"/>
      <c r="J118" s="137"/>
      <c r="K118" s="143"/>
      <c r="L118" s="118"/>
      <c r="M118" s="144"/>
      <c r="N118" s="153"/>
      <c r="O118" s="153"/>
    </row>
    <row r="119" spans="2:15" x14ac:dyDescent="0.25">
      <c r="B119" s="143"/>
      <c r="C119" s="143"/>
      <c r="D119" s="144"/>
      <c r="E119" s="133"/>
      <c r="F119" s="143"/>
      <c r="G119" s="118"/>
      <c r="H119" s="144"/>
      <c r="I119" s="133"/>
      <c r="J119" s="137"/>
      <c r="K119" s="143"/>
      <c r="L119" s="118"/>
      <c r="M119" s="144"/>
      <c r="N119" s="153"/>
      <c r="O119" s="153"/>
    </row>
    <row r="120" spans="2:15" x14ac:dyDescent="0.25">
      <c r="B120" s="143"/>
      <c r="C120" s="143"/>
      <c r="D120" s="144"/>
      <c r="E120" s="133"/>
      <c r="F120" s="143"/>
      <c r="G120" s="118"/>
      <c r="H120" s="144"/>
      <c r="I120" s="133"/>
      <c r="J120" s="137"/>
      <c r="K120" s="143"/>
      <c r="L120" s="118"/>
      <c r="M120" s="144"/>
      <c r="N120" s="153"/>
      <c r="O120" s="153"/>
    </row>
    <row r="121" spans="2:15" x14ac:dyDescent="0.25">
      <c r="B121" s="143"/>
      <c r="C121" s="143"/>
      <c r="D121" s="144"/>
      <c r="E121" s="133"/>
      <c r="F121" s="143"/>
      <c r="G121" s="118"/>
      <c r="H121" s="144"/>
      <c r="I121" s="133"/>
      <c r="J121" s="137"/>
      <c r="K121" s="143"/>
      <c r="L121" s="118"/>
      <c r="M121" s="144"/>
      <c r="N121" s="153"/>
      <c r="O121" s="153"/>
    </row>
    <row r="122" spans="2:15" x14ac:dyDescent="0.25">
      <c r="B122" s="143"/>
      <c r="C122" s="143"/>
      <c r="D122" s="144"/>
      <c r="E122" s="133"/>
      <c r="F122" s="143"/>
      <c r="G122" s="118"/>
      <c r="H122" s="144"/>
      <c r="I122" s="133"/>
      <c r="J122" s="137"/>
      <c r="K122" s="143"/>
      <c r="L122" s="118"/>
      <c r="M122" s="144"/>
      <c r="N122" s="153"/>
      <c r="O122" s="153"/>
    </row>
    <row r="123" spans="2:15" x14ac:dyDescent="0.25">
      <c r="B123" s="143"/>
      <c r="C123" s="143"/>
      <c r="D123" s="144"/>
      <c r="E123" s="133"/>
      <c r="F123" s="143"/>
      <c r="G123" s="118"/>
      <c r="H123" s="144"/>
      <c r="I123" s="133"/>
      <c r="J123" s="137"/>
      <c r="K123" s="143"/>
      <c r="L123" s="118"/>
      <c r="M123" s="144"/>
      <c r="N123" s="153"/>
      <c r="O123" s="153"/>
    </row>
    <row r="124" spans="2:15" x14ac:dyDescent="0.25">
      <c r="B124" s="143"/>
      <c r="C124" s="143"/>
      <c r="D124" s="144"/>
      <c r="E124" s="133"/>
      <c r="F124" s="143"/>
      <c r="G124" s="118"/>
      <c r="H124" s="144"/>
      <c r="I124" s="133"/>
      <c r="J124" s="137"/>
      <c r="K124" s="143"/>
      <c r="L124" s="118"/>
      <c r="M124" s="144"/>
      <c r="N124" s="153"/>
      <c r="O124" s="153"/>
    </row>
    <row r="125" spans="2:15" x14ac:dyDescent="0.25">
      <c r="B125" s="143"/>
      <c r="C125" s="143"/>
      <c r="D125" s="144"/>
      <c r="E125" s="133"/>
      <c r="F125" s="143"/>
      <c r="G125" s="118"/>
      <c r="H125" s="144"/>
      <c r="I125" s="133"/>
      <c r="J125" s="137"/>
      <c r="K125" s="143"/>
      <c r="L125" s="118"/>
      <c r="M125" s="144"/>
      <c r="N125" s="153"/>
      <c r="O125" s="153"/>
    </row>
    <row r="126" spans="2:15" x14ac:dyDescent="0.25">
      <c r="B126" s="143"/>
      <c r="C126" s="143"/>
      <c r="D126" s="144"/>
      <c r="E126" s="133"/>
      <c r="F126" s="143"/>
      <c r="G126" s="118"/>
      <c r="H126" s="144"/>
      <c r="I126" s="133"/>
      <c r="J126" s="137"/>
      <c r="K126" s="143"/>
      <c r="L126" s="118"/>
      <c r="M126" s="144"/>
      <c r="N126" s="153"/>
      <c r="O126" s="153"/>
    </row>
    <row r="127" spans="2:15" x14ac:dyDescent="0.25">
      <c r="B127" s="143"/>
      <c r="C127" s="143"/>
      <c r="D127" s="144"/>
      <c r="E127" s="133"/>
      <c r="F127" s="143"/>
      <c r="G127" s="118"/>
      <c r="H127" s="144"/>
      <c r="I127" s="133"/>
      <c r="J127" s="137"/>
      <c r="K127" s="143"/>
      <c r="L127" s="118"/>
      <c r="M127" s="144"/>
      <c r="N127" s="153"/>
      <c r="O127" s="153"/>
    </row>
    <row r="128" spans="2:15" x14ac:dyDescent="0.25">
      <c r="B128" s="143"/>
      <c r="C128" s="143"/>
      <c r="D128" s="144"/>
      <c r="E128" s="133"/>
      <c r="F128" s="143"/>
      <c r="G128" s="118"/>
      <c r="H128" s="144"/>
      <c r="I128" s="133"/>
      <c r="J128" s="137"/>
      <c r="K128" s="143"/>
      <c r="L128" s="118"/>
      <c r="M128" s="144"/>
      <c r="N128" s="153"/>
      <c r="O128" s="153"/>
    </row>
    <row r="129" spans="2:15" x14ac:dyDescent="0.25">
      <c r="B129" s="143"/>
      <c r="C129" s="143"/>
      <c r="D129" s="144"/>
      <c r="E129" s="133"/>
      <c r="F129" s="143"/>
      <c r="G129" s="118"/>
      <c r="H129" s="144"/>
      <c r="I129" s="133"/>
      <c r="J129" s="137"/>
      <c r="K129" s="143"/>
      <c r="L129" s="118"/>
      <c r="M129" s="144"/>
      <c r="N129" s="153"/>
      <c r="O129" s="153"/>
    </row>
    <row r="130" spans="2:15" x14ac:dyDescent="0.25">
      <c r="B130" s="143"/>
      <c r="C130" s="143"/>
      <c r="D130" s="144"/>
      <c r="E130" s="133"/>
      <c r="F130" s="143"/>
      <c r="G130" s="118"/>
      <c r="H130" s="144"/>
      <c r="I130" s="133"/>
      <c r="J130" s="137"/>
      <c r="K130" s="143"/>
      <c r="L130" s="118"/>
      <c r="M130" s="144"/>
      <c r="N130" s="153"/>
      <c r="O130" s="153"/>
    </row>
    <row r="131" spans="2:15" x14ac:dyDescent="0.25">
      <c r="B131" s="143"/>
      <c r="C131" s="143"/>
      <c r="D131" s="144"/>
      <c r="E131" s="133"/>
      <c r="F131" s="143"/>
      <c r="G131" s="118"/>
      <c r="H131" s="144"/>
      <c r="I131" s="133"/>
      <c r="J131" s="137"/>
      <c r="K131" s="143"/>
      <c r="L131" s="118"/>
      <c r="M131" s="144"/>
      <c r="N131" s="153"/>
      <c r="O131" s="153"/>
    </row>
    <row r="132" spans="2:15" x14ac:dyDescent="0.25">
      <c r="B132" s="143"/>
      <c r="C132" s="143"/>
      <c r="D132" s="144"/>
      <c r="E132" s="133"/>
      <c r="F132" s="143"/>
      <c r="G132" s="118"/>
      <c r="H132" s="144"/>
      <c r="I132" s="133"/>
      <c r="J132" s="137"/>
      <c r="K132" s="143"/>
      <c r="L132" s="118"/>
      <c r="M132" s="144"/>
      <c r="N132" s="153"/>
      <c r="O132" s="153"/>
    </row>
    <row r="133" spans="2:15" x14ac:dyDescent="0.25">
      <c r="B133" s="143"/>
      <c r="C133" s="143"/>
      <c r="D133" s="144"/>
      <c r="E133" s="133"/>
      <c r="F133" s="143"/>
      <c r="G133" s="118"/>
      <c r="H133" s="144"/>
      <c r="I133" s="133"/>
      <c r="J133" s="137"/>
      <c r="K133" s="143"/>
      <c r="L133" s="118"/>
      <c r="M133" s="144"/>
      <c r="N133" s="153"/>
      <c r="O133" s="153"/>
    </row>
    <row r="134" spans="2:15" x14ac:dyDescent="0.25">
      <c r="B134" s="143"/>
      <c r="C134" s="143"/>
      <c r="D134" s="144"/>
      <c r="E134" s="133"/>
      <c r="F134" s="143"/>
      <c r="G134" s="118"/>
      <c r="H134" s="144"/>
      <c r="I134" s="133"/>
      <c r="J134" s="137"/>
      <c r="K134" s="143"/>
      <c r="L134" s="118"/>
      <c r="M134" s="144"/>
      <c r="N134" s="153"/>
      <c r="O134" s="153"/>
    </row>
    <row r="135" spans="2:15" x14ac:dyDescent="0.25">
      <c r="B135" s="143"/>
      <c r="C135" s="143"/>
      <c r="D135" s="144"/>
      <c r="E135" s="133"/>
      <c r="F135" s="143"/>
      <c r="G135" s="118"/>
      <c r="H135" s="144"/>
      <c r="I135" s="133"/>
      <c r="J135" s="137"/>
      <c r="K135" s="143"/>
      <c r="L135" s="118"/>
      <c r="M135" s="144"/>
      <c r="N135" s="153"/>
      <c r="O135" s="153"/>
    </row>
    <row r="136" spans="2:15" x14ac:dyDescent="0.25">
      <c r="B136" s="143"/>
      <c r="C136" s="143"/>
      <c r="D136" s="144"/>
      <c r="E136" s="133"/>
      <c r="F136" s="143"/>
      <c r="G136" s="118"/>
      <c r="H136" s="144"/>
      <c r="I136" s="133"/>
      <c r="J136" s="137"/>
      <c r="K136" s="143"/>
      <c r="L136" s="118"/>
      <c r="M136" s="144"/>
      <c r="N136" s="153"/>
      <c r="O136" s="153"/>
    </row>
    <row r="137" spans="2:15" x14ac:dyDescent="0.25">
      <c r="B137" s="143"/>
      <c r="C137" s="143"/>
      <c r="D137" s="144"/>
      <c r="E137" s="133"/>
      <c r="F137" s="143"/>
      <c r="G137" s="118"/>
      <c r="H137" s="144"/>
      <c r="I137" s="133"/>
      <c r="J137" s="137"/>
      <c r="K137" s="143"/>
      <c r="L137" s="118"/>
      <c r="M137" s="144"/>
      <c r="N137" s="153"/>
      <c r="O137" s="153"/>
    </row>
    <row r="138" spans="2:15" x14ac:dyDescent="0.25">
      <c r="B138" s="143"/>
      <c r="C138" s="143"/>
      <c r="D138" s="144"/>
      <c r="E138" s="133"/>
      <c r="F138" s="143"/>
      <c r="G138" s="118"/>
      <c r="H138" s="144"/>
      <c r="I138" s="133"/>
      <c r="J138" s="137"/>
      <c r="K138" s="143"/>
      <c r="L138" s="118"/>
      <c r="M138" s="144"/>
      <c r="N138" s="153"/>
      <c r="O138" s="153"/>
    </row>
    <row r="139" spans="2:15" x14ac:dyDescent="0.25">
      <c r="B139" s="143"/>
      <c r="C139" s="143"/>
      <c r="D139" s="144"/>
      <c r="E139" s="133"/>
      <c r="F139" s="143"/>
      <c r="G139" s="118"/>
      <c r="H139" s="144"/>
      <c r="I139" s="133"/>
      <c r="J139" s="137"/>
      <c r="K139" s="143"/>
      <c r="L139" s="118"/>
      <c r="M139" s="144"/>
      <c r="N139" s="153"/>
      <c r="O139" s="153"/>
    </row>
    <row r="140" spans="2:15" x14ac:dyDescent="0.25">
      <c r="B140" s="143"/>
      <c r="C140" s="143"/>
      <c r="D140" s="144"/>
      <c r="E140" s="133"/>
      <c r="F140" s="143"/>
      <c r="G140" s="118"/>
      <c r="H140" s="144"/>
      <c r="I140" s="133"/>
      <c r="J140" s="137"/>
      <c r="K140" s="143"/>
      <c r="L140" s="118"/>
      <c r="M140" s="144"/>
      <c r="N140" s="153"/>
      <c r="O140" s="153"/>
    </row>
    <row r="141" spans="2:15" x14ac:dyDescent="0.25">
      <c r="B141" s="143"/>
      <c r="C141" s="143"/>
      <c r="D141" s="144"/>
      <c r="E141" s="133"/>
      <c r="F141" s="143"/>
      <c r="G141" s="118"/>
      <c r="H141" s="144"/>
      <c r="I141" s="133"/>
      <c r="J141" s="137"/>
      <c r="K141" s="143"/>
      <c r="L141" s="118"/>
      <c r="M141" s="144"/>
      <c r="N141" s="153"/>
      <c r="O141" s="153"/>
    </row>
    <row r="142" spans="2:15" x14ac:dyDescent="0.25">
      <c r="B142" s="143"/>
      <c r="C142" s="143"/>
      <c r="D142" s="144"/>
      <c r="E142" s="133"/>
      <c r="F142" s="143"/>
      <c r="G142" s="118"/>
      <c r="H142" s="144"/>
      <c r="I142" s="133"/>
      <c r="J142" s="137"/>
      <c r="K142" s="143"/>
      <c r="L142" s="118"/>
      <c r="M142" s="144"/>
      <c r="N142" s="153"/>
      <c r="O142" s="153"/>
    </row>
    <row r="143" spans="2:15" x14ac:dyDescent="0.25">
      <c r="B143" s="143"/>
      <c r="C143" s="143"/>
      <c r="D143" s="144"/>
      <c r="E143" s="133"/>
      <c r="F143" s="143"/>
      <c r="G143" s="118"/>
      <c r="H143" s="144"/>
      <c r="I143" s="133"/>
      <c r="J143" s="137"/>
      <c r="K143" s="143"/>
      <c r="L143" s="118"/>
      <c r="M143" s="144"/>
      <c r="N143" s="153"/>
      <c r="O143" s="153"/>
    </row>
    <row r="144" spans="2:15" x14ac:dyDescent="0.25">
      <c r="B144" s="143"/>
      <c r="C144" s="143"/>
      <c r="D144" s="144"/>
      <c r="E144" s="133"/>
      <c r="F144" s="143"/>
      <c r="G144" s="118"/>
      <c r="H144" s="144"/>
      <c r="I144" s="133"/>
      <c r="J144" s="137"/>
      <c r="K144" s="143"/>
      <c r="L144" s="118"/>
      <c r="M144" s="144"/>
      <c r="N144" s="153"/>
      <c r="O144" s="153"/>
    </row>
    <row r="145" spans="2:15" x14ac:dyDescent="0.25">
      <c r="B145" s="143"/>
      <c r="C145" s="143"/>
      <c r="D145" s="144"/>
      <c r="E145" s="133"/>
      <c r="F145" s="143"/>
      <c r="G145" s="118"/>
      <c r="H145" s="144"/>
      <c r="I145" s="133"/>
      <c r="J145" s="137"/>
      <c r="K145" s="143"/>
      <c r="L145" s="118"/>
      <c r="M145" s="144"/>
      <c r="N145" s="153"/>
      <c r="O145" s="153"/>
    </row>
    <row r="146" spans="2:15" x14ac:dyDescent="0.25">
      <c r="B146" s="143"/>
      <c r="C146" s="143"/>
      <c r="D146" s="144"/>
      <c r="E146" s="133"/>
      <c r="F146" s="143"/>
      <c r="G146" s="118"/>
      <c r="H146" s="144"/>
      <c r="I146" s="133"/>
      <c r="J146" s="137"/>
      <c r="K146" s="143"/>
      <c r="L146" s="118"/>
      <c r="M146" s="144"/>
      <c r="N146" s="153"/>
      <c r="O146" s="153"/>
    </row>
    <row r="147" spans="2:15" x14ac:dyDescent="0.25">
      <c r="B147" s="143"/>
      <c r="C147" s="143"/>
      <c r="D147" s="144"/>
      <c r="E147" s="133"/>
      <c r="F147" s="143"/>
      <c r="G147" s="118"/>
      <c r="H147" s="144"/>
      <c r="I147" s="133"/>
      <c r="J147" s="137"/>
      <c r="K147" s="143"/>
      <c r="L147" s="118"/>
      <c r="M147" s="144"/>
      <c r="N147" s="153"/>
      <c r="O147" s="153"/>
    </row>
    <row r="148" spans="2:15" x14ac:dyDescent="0.25">
      <c r="B148" s="143"/>
      <c r="C148" s="143"/>
      <c r="D148" s="144"/>
      <c r="E148" s="133"/>
      <c r="F148" s="143"/>
      <c r="G148" s="118"/>
      <c r="H148" s="144"/>
      <c r="I148" s="133"/>
      <c r="J148" s="137"/>
      <c r="K148" s="143"/>
      <c r="L148" s="118"/>
      <c r="M148" s="144"/>
      <c r="N148" s="153"/>
      <c r="O148" s="153"/>
    </row>
    <row r="149" spans="2:15" x14ac:dyDescent="0.25">
      <c r="B149" s="143"/>
      <c r="C149" s="143"/>
      <c r="D149" s="144"/>
      <c r="E149" s="133"/>
      <c r="F149" s="143"/>
      <c r="G149" s="118"/>
      <c r="H149" s="144"/>
      <c r="I149" s="133"/>
      <c r="J149" s="137"/>
      <c r="K149" s="143"/>
      <c r="L149" s="118"/>
      <c r="M149" s="144"/>
      <c r="N149" s="153"/>
      <c r="O149" s="153"/>
    </row>
    <row r="150" spans="2:15" x14ac:dyDescent="0.25">
      <c r="B150" s="143"/>
      <c r="C150" s="143"/>
      <c r="D150" s="144"/>
      <c r="E150" s="133"/>
      <c r="F150" s="143"/>
      <c r="G150" s="118"/>
      <c r="H150" s="144"/>
      <c r="I150" s="133"/>
      <c r="J150" s="137"/>
      <c r="K150" s="143"/>
      <c r="L150" s="118"/>
      <c r="M150" s="144"/>
      <c r="N150" s="153"/>
      <c r="O150" s="153"/>
    </row>
    <row r="151" spans="2:15" x14ac:dyDescent="0.25">
      <c r="B151" s="143"/>
      <c r="C151" s="143"/>
      <c r="D151" s="144"/>
      <c r="E151" s="133"/>
      <c r="F151" s="143"/>
      <c r="G151" s="118"/>
      <c r="H151" s="144"/>
      <c r="I151" s="133"/>
      <c r="J151" s="137"/>
      <c r="K151" s="143"/>
      <c r="L151" s="118"/>
      <c r="M151" s="144"/>
      <c r="N151" s="153"/>
      <c r="O151" s="153"/>
    </row>
    <row r="152" spans="2:15" x14ac:dyDescent="0.25">
      <c r="B152" s="143"/>
      <c r="C152" s="143"/>
      <c r="D152" s="144"/>
      <c r="E152" s="133"/>
      <c r="F152" s="143"/>
      <c r="G152" s="118"/>
      <c r="H152" s="144"/>
      <c r="I152" s="133"/>
      <c r="J152" s="137"/>
      <c r="K152" s="143"/>
      <c r="L152" s="118"/>
      <c r="M152" s="144"/>
      <c r="N152" s="153"/>
      <c r="O152" s="153"/>
    </row>
    <row r="153" spans="2:15" x14ac:dyDescent="0.25">
      <c r="B153" s="143"/>
      <c r="C153" s="143"/>
      <c r="D153" s="144"/>
      <c r="E153" s="133"/>
      <c r="F153" s="143"/>
      <c r="G153" s="118"/>
      <c r="H153" s="144"/>
      <c r="I153" s="133"/>
      <c r="J153" s="137"/>
      <c r="K153" s="143"/>
      <c r="L153" s="118"/>
      <c r="M153" s="144"/>
      <c r="N153" s="153"/>
      <c r="O153" s="153"/>
    </row>
    <row r="154" spans="2:15" x14ac:dyDescent="0.25">
      <c r="B154" s="143"/>
      <c r="C154" s="143"/>
      <c r="D154" s="144"/>
      <c r="E154" s="133"/>
      <c r="F154" s="143"/>
      <c r="G154" s="118"/>
      <c r="H154" s="144"/>
      <c r="I154" s="133"/>
      <c r="J154" s="137"/>
      <c r="K154" s="143"/>
      <c r="L154" s="118"/>
      <c r="M154" s="144"/>
      <c r="N154" s="153"/>
      <c r="O154" s="153"/>
    </row>
    <row r="155" spans="2:15" x14ac:dyDescent="0.25">
      <c r="B155" s="143"/>
      <c r="C155" s="143"/>
      <c r="D155" s="144"/>
      <c r="E155" s="133"/>
      <c r="F155" s="143"/>
      <c r="G155" s="118"/>
      <c r="H155" s="144"/>
      <c r="I155" s="133"/>
      <c r="J155" s="137"/>
      <c r="K155" s="143"/>
      <c r="L155" s="118"/>
      <c r="M155" s="144"/>
      <c r="N155" s="153"/>
      <c r="O155" s="153"/>
    </row>
    <row r="156" spans="2:15" x14ac:dyDescent="0.25">
      <c r="B156" s="143"/>
      <c r="C156" s="143"/>
      <c r="D156" s="144"/>
      <c r="E156" s="133"/>
      <c r="F156" s="143"/>
      <c r="G156" s="118"/>
      <c r="H156" s="144"/>
      <c r="I156" s="133"/>
      <c r="J156" s="137"/>
      <c r="K156" s="143"/>
      <c r="L156" s="118"/>
      <c r="M156" s="144"/>
      <c r="N156" s="153"/>
      <c r="O156" s="153"/>
    </row>
    <row r="157" spans="2:15" x14ac:dyDescent="0.25">
      <c r="B157" s="143"/>
      <c r="C157" s="143"/>
      <c r="D157" s="144"/>
      <c r="E157" s="133"/>
      <c r="F157" s="143"/>
      <c r="G157" s="118"/>
      <c r="H157" s="144"/>
      <c r="I157" s="133"/>
      <c r="J157" s="137"/>
      <c r="K157" s="143"/>
      <c r="L157" s="118"/>
      <c r="M157" s="144"/>
      <c r="N157" s="153"/>
      <c r="O157" s="153"/>
    </row>
    <row r="158" spans="2:15" x14ac:dyDescent="0.25">
      <c r="B158" s="143"/>
      <c r="C158" s="143"/>
      <c r="D158" s="144"/>
      <c r="E158" s="133"/>
      <c r="F158" s="143"/>
      <c r="G158" s="118"/>
      <c r="H158" s="144"/>
      <c r="I158" s="133"/>
      <c r="J158" s="137"/>
      <c r="K158" s="143"/>
      <c r="L158" s="118"/>
      <c r="M158" s="144"/>
      <c r="N158" s="153"/>
      <c r="O158" s="153"/>
    </row>
    <row r="159" spans="2:15" x14ac:dyDescent="0.25">
      <c r="B159" s="143"/>
      <c r="C159" s="143"/>
      <c r="D159" s="144"/>
      <c r="E159" s="133"/>
      <c r="F159" s="143"/>
      <c r="G159" s="118"/>
      <c r="H159" s="144"/>
      <c r="I159" s="133"/>
      <c r="J159" s="137"/>
      <c r="K159" s="143"/>
      <c r="L159" s="118"/>
      <c r="M159" s="144"/>
      <c r="N159" s="153"/>
      <c r="O159" s="153"/>
    </row>
    <row r="160" spans="2:15" x14ac:dyDescent="0.25">
      <c r="B160" s="143"/>
      <c r="C160" s="143"/>
      <c r="D160" s="144"/>
      <c r="E160" s="133"/>
      <c r="F160" s="143"/>
      <c r="G160" s="118"/>
      <c r="H160" s="144"/>
      <c r="I160" s="133"/>
      <c r="J160" s="137"/>
      <c r="K160" s="143"/>
      <c r="L160" s="118"/>
      <c r="M160" s="144"/>
      <c r="N160" s="153"/>
      <c r="O160" s="153"/>
    </row>
    <row r="161" spans="2:15" x14ac:dyDescent="0.25">
      <c r="B161" s="143"/>
      <c r="C161" s="143"/>
      <c r="D161" s="144"/>
      <c r="E161" s="133"/>
      <c r="F161" s="143"/>
      <c r="G161" s="118"/>
      <c r="H161" s="144"/>
      <c r="I161" s="133"/>
      <c r="J161" s="137"/>
      <c r="K161" s="143"/>
      <c r="L161" s="118"/>
      <c r="M161" s="144"/>
      <c r="N161" s="153"/>
      <c r="O161" s="153"/>
    </row>
    <row r="162" spans="2:15" x14ac:dyDescent="0.25">
      <c r="B162" s="143"/>
      <c r="C162" s="143"/>
      <c r="D162" s="144"/>
      <c r="E162" s="133"/>
      <c r="F162" s="143"/>
      <c r="G162" s="118"/>
      <c r="H162" s="144"/>
      <c r="I162" s="133"/>
      <c r="J162" s="137"/>
      <c r="K162" s="143"/>
      <c r="L162" s="118"/>
      <c r="M162" s="144"/>
      <c r="N162" s="153"/>
      <c r="O162" s="153"/>
    </row>
    <row r="163" spans="2:15" x14ac:dyDescent="0.25">
      <c r="B163" s="143"/>
      <c r="C163" s="143"/>
      <c r="D163" s="144"/>
      <c r="E163" s="133"/>
      <c r="F163" s="143"/>
      <c r="G163" s="118"/>
      <c r="H163" s="144"/>
      <c r="I163" s="133"/>
      <c r="J163" s="137"/>
      <c r="K163" s="143"/>
      <c r="L163" s="118"/>
      <c r="M163" s="144"/>
      <c r="N163" s="153"/>
      <c r="O163" s="153"/>
    </row>
    <row r="164" spans="2:15" x14ac:dyDescent="0.25">
      <c r="B164" s="143"/>
      <c r="C164" s="143"/>
      <c r="D164" s="144"/>
      <c r="E164" s="133"/>
      <c r="F164" s="143"/>
      <c r="G164" s="118"/>
      <c r="H164" s="144"/>
      <c r="I164" s="133"/>
      <c r="J164" s="137"/>
      <c r="K164" s="143"/>
      <c r="L164" s="118"/>
      <c r="M164" s="144"/>
      <c r="N164" s="153"/>
      <c r="O164" s="153"/>
    </row>
    <row r="165" spans="2:15" x14ac:dyDescent="0.25">
      <c r="B165" s="143"/>
      <c r="C165" s="143"/>
      <c r="D165" s="144"/>
      <c r="E165" s="133"/>
      <c r="F165" s="143"/>
      <c r="G165" s="118"/>
      <c r="H165" s="144"/>
      <c r="I165" s="133"/>
      <c r="J165" s="137"/>
      <c r="K165" s="143"/>
      <c r="L165" s="118"/>
      <c r="M165" s="144"/>
      <c r="N165" s="153"/>
      <c r="O165" s="153"/>
    </row>
    <row r="166" spans="2:15" x14ac:dyDescent="0.25">
      <c r="B166" s="143"/>
      <c r="C166" s="143"/>
      <c r="D166" s="144"/>
      <c r="E166" s="133"/>
      <c r="F166" s="143"/>
      <c r="G166" s="118"/>
      <c r="H166" s="144"/>
      <c r="I166" s="133"/>
      <c r="J166" s="137"/>
      <c r="K166" s="143"/>
      <c r="L166" s="118"/>
      <c r="M166" s="144"/>
      <c r="N166" s="153"/>
      <c r="O166" s="153"/>
    </row>
    <row r="167" spans="2:15" x14ac:dyDescent="0.25">
      <c r="B167" s="143"/>
      <c r="C167" s="143"/>
      <c r="D167" s="144"/>
      <c r="E167" s="133"/>
      <c r="F167" s="143"/>
      <c r="G167" s="118"/>
      <c r="H167" s="144"/>
      <c r="I167" s="133"/>
      <c r="J167" s="137"/>
      <c r="K167" s="143"/>
      <c r="L167" s="118"/>
      <c r="M167" s="144"/>
      <c r="N167" s="153"/>
      <c r="O167" s="153"/>
    </row>
    <row r="168" spans="2:15" x14ac:dyDescent="0.25">
      <c r="B168" s="143"/>
      <c r="C168" s="143"/>
      <c r="D168" s="144"/>
      <c r="E168" s="133"/>
      <c r="F168" s="143"/>
      <c r="G168" s="118"/>
      <c r="H168" s="144"/>
      <c r="I168" s="133"/>
      <c r="J168" s="137"/>
      <c r="K168" s="143"/>
      <c r="L168" s="118"/>
      <c r="M168" s="144"/>
      <c r="N168" s="153"/>
      <c r="O168" s="153"/>
    </row>
    <row r="169" spans="2:15" x14ac:dyDescent="0.25">
      <c r="B169" s="143"/>
      <c r="C169" s="143"/>
      <c r="D169" s="144"/>
      <c r="E169" s="133"/>
      <c r="F169" s="143"/>
      <c r="G169" s="118"/>
      <c r="H169" s="144"/>
      <c r="I169" s="133"/>
      <c r="J169" s="137"/>
      <c r="K169" s="143"/>
      <c r="L169" s="118"/>
      <c r="M169" s="144"/>
      <c r="N169" s="153"/>
      <c r="O169" s="153"/>
    </row>
    <row r="170" spans="2:15" x14ac:dyDescent="0.25">
      <c r="B170" s="143"/>
      <c r="C170" s="143"/>
      <c r="D170" s="144"/>
      <c r="E170" s="133"/>
      <c r="F170" s="143"/>
      <c r="G170" s="118"/>
      <c r="H170" s="144"/>
      <c r="I170" s="133"/>
      <c r="J170" s="137"/>
      <c r="K170" s="143"/>
      <c r="L170" s="118"/>
      <c r="M170" s="144"/>
      <c r="N170" s="153"/>
      <c r="O170" s="153"/>
    </row>
    <row r="171" spans="2:15" x14ac:dyDescent="0.25">
      <c r="B171" s="143"/>
      <c r="C171" s="143"/>
      <c r="D171" s="144"/>
      <c r="E171" s="133"/>
      <c r="F171" s="143"/>
      <c r="G171" s="118"/>
      <c r="H171" s="144"/>
      <c r="I171" s="133"/>
      <c r="J171" s="137"/>
      <c r="K171" s="143"/>
      <c r="L171" s="118"/>
      <c r="M171" s="144"/>
      <c r="N171" s="153"/>
      <c r="O171" s="153"/>
    </row>
    <row r="172" spans="2:15" x14ac:dyDescent="0.25">
      <c r="B172" s="143"/>
      <c r="C172" s="143"/>
      <c r="D172" s="144"/>
      <c r="E172" s="133"/>
      <c r="F172" s="143"/>
      <c r="G172" s="118"/>
      <c r="H172" s="144"/>
      <c r="I172" s="133"/>
      <c r="J172" s="137"/>
      <c r="K172" s="143"/>
      <c r="L172" s="118"/>
      <c r="M172" s="144"/>
      <c r="N172" s="153"/>
      <c r="O172" s="153"/>
    </row>
    <row r="173" spans="2:15" x14ac:dyDescent="0.25">
      <c r="B173" s="143"/>
      <c r="C173" s="143"/>
      <c r="D173" s="144"/>
      <c r="E173" s="133"/>
      <c r="F173" s="143"/>
      <c r="G173" s="118"/>
      <c r="H173" s="144"/>
      <c r="I173" s="133"/>
      <c r="J173" s="137"/>
      <c r="K173" s="143"/>
      <c r="L173" s="118"/>
      <c r="M173" s="144"/>
      <c r="N173" s="153"/>
      <c r="O173" s="153"/>
    </row>
    <row r="174" spans="2:15" x14ac:dyDescent="0.25">
      <c r="B174" s="143"/>
      <c r="C174" s="143"/>
      <c r="D174" s="144"/>
      <c r="E174" s="133"/>
      <c r="F174" s="143"/>
      <c r="G174" s="118"/>
      <c r="H174" s="144"/>
      <c r="I174" s="133"/>
      <c r="J174" s="137"/>
      <c r="K174" s="143"/>
      <c r="L174" s="118"/>
      <c r="M174" s="144"/>
      <c r="N174" s="153"/>
      <c r="O174" s="153"/>
    </row>
    <row r="175" spans="2:15" x14ac:dyDescent="0.25">
      <c r="B175" s="143"/>
      <c r="C175" s="143"/>
      <c r="D175" s="144"/>
      <c r="E175" s="133"/>
      <c r="F175" s="143"/>
      <c r="G175" s="118"/>
      <c r="H175" s="144"/>
      <c r="I175" s="133"/>
      <c r="J175" s="137"/>
      <c r="K175" s="143"/>
      <c r="L175" s="118"/>
      <c r="M175" s="144"/>
      <c r="N175" s="153"/>
      <c r="O175" s="153"/>
    </row>
    <row r="176" spans="2:15" x14ac:dyDescent="0.25">
      <c r="B176" s="143"/>
      <c r="C176" s="143"/>
      <c r="D176" s="144"/>
      <c r="E176" s="133"/>
      <c r="F176" s="143"/>
      <c r="G176" s="118"/>
      <c r="H176" s="144"/>
      <c r="I176" s="133"/>
      <c r="J176" s="137"/>
      <c r="K176" s="143"/>
      <c r="L176" s="118"/>
      <c r="M176" s="144"/>
      <c r="N176" s="153"/>
      <c r="O176" s="153"/>
    </row>
    <row r="177" spans="2:15" x14ac:dyDescent="0.25">
      <c r="B177" s="143"/>
      <c r="C177" s="143"/>
      <c r="D177" s="144"/>
      <c r="E177" s="133"/>
      <c r="F177" s="143"/>
      <c r="G177" s="118"/>
      <c r="H177" s="144"/>
      <c r="I177" s="133"/>
      <c r="J177" s="137"/>
      <c r="K177" s="143"/>
      <c r="L177" s="118"/>
      <c r="M177" s="144"/>
      <c r="N177" s="153"/>
      <c r="O177" s="153"/>
    </row>
    <row r="178" spans="2:15" x14ac:dyDescent="0.25">
      <c r="B178" s="143"/>
      <c r="C178" s="143"/>
      <c r="D178" s="144"/>
      <c r="E178" s="133"/>
      <c r="F178" s="143"/>
      <c r="G178" s="118"/>
      <c r="H178" s="144"/>
      <c r="I178" s="133"/>
      <c r="J178" s="137"/>
      <c r="K178" s="143"/>
      <c r="L178" s="118"/>
      <c r="M178" s="144"/>
      <c r="N178" s="153"/>
      <c r="O178" s="153"/>
    </row>
    <row r="179" spans="2:15" x14ac:dyDescent="0.25">
      <c r="B179" s="143"/>
      <c r="C179" s="143"/>
      <c r="D179" s="144"/>
      <c r="E179" s="133"/>
      <c r="F179" s="143"/>
      <c r="G179" s="118"/>
      <c r="H179" s="144"/>
      <c r="I179" s="133"/>
      <c r="J179" s="137"/>
      <c r="K179" s="143"/>
      <c r="L179" s="118"/>
      <c r="M179" s="144"/>
      <c r="N179" s="153"/>
      <c r="O179" s="153"/>
    </row>
    <row r="180" spans="2:15" x14ac:dyDescent="0.25">
      <c r="B180" s="143"/>
      <c r="C180" s="143"/>
      <c r="D180" s="144"/>
      <c r="E180" s="133"/>
      <c r="F180" s="143"/>
      <c r="G180" s="118"/>
      <c r="H180" s="144"/>
      <c r="I180" s="133"/>
      <c r="J180" s="137"/>
      <c r="K180" s="143"/>
      <c r="L180" s="118"/>
      <c r="M180" s="144"/>
      <c r="N180" s="153"/>
      <c r="O180" s="153"/>
    </row>
    <row r="181" spans="2:15" x14ac:dyDescent="0.25">
      <c r="B181" s="143"/>
      <c r="C181" s="143"/>
      <c r="D181" s="144"/>
      <c r="E181" s="133"/>
      <c r="F181" s="143"/>
      <c r="G181" s="118"/>
      <c r="H181" s="144"/>
      <c r="I181" s="133"/>
      <c r="J181" s="137"/>
      <c r="K181" s="143"/>
      <c r="L181" s="118"/>
      <c r="M181" s="144"/>
      <c r="N181" s="153"/>
      <c r="O181" s="153"/>
    </row>
    <row r="182" spans="2:15" x14ac:dyDescent="0.25">
      <c r="B182" s="143"/>
      <c r="C182" s="143"/>
      <c r="D182" s="144"/>
      <c r="E182" s="133"/>
      <c r="F182" s="143"/>
      <c r="G182" s="118"/>
      <c r="H182" s="144"/>
      <c r="I182" s="133"/>
      <c r="J182" s="137"/>
      <c r="K182" s="143"/>
      <c r="L182" s="118"/>
      <c r="M182" s="144"/>
      <c r="N182" s="153"/>
      <c r="O182" s="153"/>
    </row>
    <row r="183" spans="2:15" x14ac:dyDescent="0.25">
      <c r="B183" s="143"/>
      <c r="C183" s="143"/>
      <c r="D183" s="144"/>
      <c r="E183" s="133"/>
      <c r="F183" s="143"/>
      <c r="G183" s="118"/>
      <c r="H183" s="144"/>
      <c r="I183" s="133"/>
      <c r="J183" s="137"/>
      <c r="K183" s="143"/>
      <c r="L183" s="118"/>
      <c r="M183" s="144"/>
      <c r="N183" s="153"/>
      <c r="O183" s="153"/>
    </row>
    <row r="184" spans="2:15" x14ac:dyDescent="0.25">
      <c r="B184" s="143"/>
      <c r="C184" s="143"/>
      <c r="D184" s="144"/>
      <c r="E184" s="133"/>
      <c r="F184" s="143"/>
      <c r="G184" s="118"/>
      <c r="H184" s="144"/>
      <c r="I184" s="133"/>
      <c r="J184" s="137"/>
      <c r="K184" s="143"/>
      <c r="L184" s="118"/>
      <c r="M184" s="144"/>
      <c r="N184" s="153"/>
      <c r="O184" s="153"/>
    </row>
    <row r="185" spans="2:15" x14ac:dyDescent="0.25">
      <c r="B185" s="143"/>
      <c r="C185" s="143"/>
      <c r="D185" s="144"/>
      <c r="E185" s="133"/>
      <c r="F185" s="143"/>
      <c r="G185" s="118"/>
      <c r="H185" s="144"/>
      <c r="I185" s="133"/>
      <c r="J185" s="137"/>
      <c r="K185" s="143"/>
      <c r="L185" s="118"/>
      <c r="M185" s="144"/>
      <c r="N185" s="153"/>
      <c r="O185" s="153"/>
    </row>
    <row r="186" spans="2:15" x14ac:dyDescent="0.25">
      <c r="B186" s="143"/>
      <c r="C186" s="143"/>
      <c r="D186" s="144"/>
      <c r="E186" s="133"/>
      <c r="F186" s="143"/>
      <c r="G186" s="118"/>
      <c r="H186" s="144"/>
      <c r="I186" s="133"/>
      <c r="J186" s="137"/>
      <c r="K186" s="143"/>
      <c r="L186" s="118"/>
      <c r="M186" s="144"/>
      <c r="N186" s="153"/>
      <c r="O186" s="153"/>
    </row>
    <row r="187" spans="2:15" x14ac:dyDescent="0.25">
      <c r="B187" s="143"/>
      <c r="C187" s="143"/>
      <c r="D187" s="144"/>
      <c r="E187" s="133"/>
      <c r="F187" s="143"/>
      <c r="G187" s="118"/>
      <c r="H187" s="144"/>
      <c r="I187" s="133"/>
      <c r="J187" s="137"/>
      <c r="K187" s="143"/>
      <c r="L187" s="118"/>
      <c r="M187" s="144"/>
      <c r="N187" s="153"/>
      <c r="O187" s="153"/>
    </row>
    <row r="188" spans="2:15" x14ac:dyDescent="0.25">
      <c r="B188" s="143"/>
      <c r="C188" s="143"/>
      <c r="D188" s="144"/>
      <c r="E188" s="133"/>
      <c r="F188" s="143"/>
      <c r="G188" s="118"/>
      <c r="H188" s="144"/>
      <c r="I188" s="133"/>
      <c r="J188" s="137"/>
      <c r="K188" s="143"/>
      <c r="L188" s="118"/>
      <c r="M188" s="144"/>
      <c r="N188" s="153"/>
      <c r="O188" s="153"/>
    </row>
    <row r="189" spans="2:15" x14ac:dyDescent="0.25">
      <c r="B189" s="143"/>
      <c r="C189" s="143"/>
      <c r="D189" s="144"/>
      <c r="E189" s="133"/>
      <c r="F189" s="143"/>
      <c r="G189" s="118"/>
      <c r="H189" s="144"/>
      <c r="I189" s="133"/>
      <c r="J189" s="137"/>
      <c r="K189" s="143"/>
      <c r="L189" s="118"/>
      <c r="M189" s="144"/>
      <c r="N189" s="153"/>
      <c r="O189" s="153"/>
    </row>
    <row r="190" spans="2:15" x14ac:dyDescent="0.25">
      <c r="B190" s="143"/>
      <c r="C190" s="143"/>
      <c r="D190" s="144"/>
      <c r="E190" s="133"/>
      <c r="F190" s="143"/>
      <c r="G190" s="118"/>
      <c r="H190" s="144"/>
      <c r="I190" s="133"/>
      <c r="J190" s="137"/>
      <c r="K190" s="143"/>
      <c r="L190" s="118"/>
      <c r="M190" s="144"/>
      <c r="N190" s="153"/>
      <c r="O190" s="153"/>
    </row>
    <row r="191" spans="2:15" x14ac:dyDescent="0.25">
      <c r="B191" s="143"/>
      <c r="C191" s="143"/>
      <c r="D191" s="144"/>
      <c r="E191" s="133"/>
      <c r="F191" s="143"/>
      <c r="G191" s="118"/>
      <c r="H191" s="144"/>
      <c r="I191" s="133"/>
      <c r="J191" s="137"/>
      <c r="K191" s="143"/>
      <c r="L191" s="118"/>
      <c r="M191" s="144"/>
      <c r="N191" s="153"/>
      <c r="O191" s="153"/>
    </row>
    <row r="192" spans="2:15" x14ac:dyDescent="0.25">
      <c r="B192" s="143"/>
      <c r="C192" s="143"/>
      <c r="D192" s="144"/>
      <c r="E192" s="133"/>
      <c r="F192" s="143"/>
      <c r="G192" s="118"/>
      <c r="H192" s="144"/>
      <c r="I192" s="133"/>
      <c r="J192" s="137"/>
      <c r="K192" s="143"/>
      <c r="L192" s="118"/>
      <c r="M192" s="144"/>
      <c r="N192" s="153"/>
      <c r="O192" s="153"/>
    </row>
    <row r="193" spans="2:15" x14ac:dyDescent="0.25">
      <c r="B193" s="143"/>
      <c r="C193" s="143"/>
      <c r="D193" s="144"/>
      <c r="E193" s="133"/>
      <c r="F193" s="143"/>
      <c r="G193" s="118"/>
      <c r="H193" s="144"/>
      <c r="I193" s="133"/>
      <c r="J193" s="137"/>
      <c r="K193" s="143"/>
      <c r="L193" s="118"/>
      <c r="M193" s="144"/>
      <c r="N193" s="153"/>
      <c r="O193" s="153"/>
    </row>
    <row r="194" spans="2:15" x14ac:dyDescent="0.25">
      <c r="B194" s="143"/>
      <c r="C194" s="143"/>
      <c r="D194" s="144"/>
      <c r="E194" s="133"/>
      <c r="F194" s="143"/>
      <c r="G194" s="118"/>
      <c r="H194" s="144"/>
      <c r="I194" s="133"/>
      <c r="J194" s="137"/>
      <c r="K194" s="143"/>
      <c r="L194" s="118"/>
      <c r="M194" s="144"/>
      <c r="N194" s="153"/>
      <c r="O194" s="153"/>
    </row>
    <row r="195" spans="2:15" x14ac:dyDescent="0.25">
      <c r="B195" s="143"/>
      <c r="C195" s="143"/>
      <c r="D195" s="144"/>
      <c r="E195" s="133"/>
      <c r="F195" s="143"/>
      <c r="G195" s="118"/>
      <c r="H195" s="144"/>
      <c r="I195" s="133"/>
      <c r="J195" s="137"/>
      <c r="K195" s="143"/>
      <c r="L195" s="118"/>
      <c r="M195" s="144"/>
      <c r="N195" s="153"/>
      <c r="O195" s="153"/>
    </row>
    <row r="196" spans="2:15" x14ac:dyDescent="0.25">
      <c r="B196" s="143"/>
      <c r="C196" s="143"/>
      <c r="D196" s="144"/>
      <c r="E196" s="133"/>
      <c r="F196" s="143"/>
      <c r="G196" s="118"/>
      <c r="H196" s="144"/>
      <c r="I196" s="133"/>
      <c r="J196" s="137"/>
      <c r="K196" s="143"/>
      <c r="L196" s="118"/>
      <c r="M196" s="144"/>
      <c r="N196" s="153"/>
      <c r="O196" s="153"/>
    </row>
    <row r="197" spans="2:15" x14ac:dyDescent="0.25">
      <c r="B197" s="143"/>
      <c r="C197" s="143"/>
      <c r="D197" s="144"/>
      <c r="E197" s="133"/>
      <c r="F197" s="143"/>
      <c r="G197" s="118"/>
      <c r="H197" s="144"/>
      <c r="I197" s="133"/>
      <c r="J197" s="137"/>
      <c r="K197" s="143"/>
      <c r="L197" s="118"/>
      <c r="M197" s="144"/>
      <c r="N197" s="153"/>
      <c r="O197" s="153"/>
    </row>
    <row r="198" spans="2:15" x14ac:dyDescent="0.25">
      <c r="B198" s="143"/>
      <c r="C198" s="143"/>
      <c r="D198" s="144"/>
      <c r="E198" s="133"/>
      <c r="F198" s="143"/>
      <c r="G198" s="118"/>
      <c r="H198" s="144"/>
      <c r="I198" s="133"/>
      <c r="J198" s="137"/>
      <c r="K198" s="143"/>
      <c r="L198" s="118"/>
      <c r="M198" s="144"/>
      <c r="N198" s="153"/>
      <c r="O198" s="153"/>
    </row>
    <row r="199" spans="2:15" x14ac:dyDescent="0.25">
      <c r="B199" s="143"/>
      <c r="C199" s="143"/>
      <c r="D199" s="144"/>
      <c r="E199" s="133"/>
      <c r="F199" s="143"/>
      <c r="G199" s="118"/>
      <c r="H199" s="144"/>
      <c r="I199" s="133"/>
      <c r="J199" s="137"/>
      <c r="K199" s="143"/>
      <c r="L199" s="118"/>
      <c r="M199" s="144"/>
      <c r="N199" s="153"/>
      <c r="O199" s="153"/>
    </row>
    <row r="200" spans="2:15" x14ac:dyDescent="0.25">
      <c r="B200" s="143"/>
      <c r="C200" s="143"/>
      <c r="D200" s="144"/>
      <c r="E200" s="133"/>
      <c r="F200" s="143"/>
      <c r="G200" s="118"/>
      <c r="H200" s="144"/>
      <c r="I200" s="133"/>
      <c r="J200" s="137"/>
      <c r="K200" s="143"/>
      <c r="L200" s="118"/>
      <c r="M200" s="144"/>
      <c r="N200" s="153"/>
      <c r="O200" s="153"/>
    </row>
    <row r="201" spans="2:15" x14ac:dyDescent="0.25">
      <c r="B201" s="143"/>
      <c r="C201" s="143"/>
      <c r="D201" s="144"/>
      <c r="E201" s="133"/>
      <c r="F201" s="143"/>
      <c r="G201" s="118"/>
      <c r="H201" s="144"/>
      <c r="I201" s="133"/>
      <c r="J201" s="137"/>
      <c r="K201" s="143"/>
      <c r="L201" s="118"/>
      <c r="M201" s="144"/>
      <c r="N201" s="153"/>
      <c r="O201" s="153"/>
    </row>
    <row r="202" spans="2:15" x14ac:dyDescent="0.25">
      <c r="B202" s="143"/>
      <c r="C202" s="143"/>
      <c r="D202" s="144"/>
      <c r="E202" s="133"/>
      <c r="F202" s="143"/>
      <c r="G202" s="118"/>
      <c r="H202" s="144"/>
      <c r="I202" s="133"/>
      <c r="J202" s="137"/>
      <c r="K202" s="143"/>
      <c r="L202" s="118"/>
      <c r="M202" s="144"/>
      <c r="N202" s="153"/>
      <c r="O202" s="153"/>
    </row>
    <row r="203" spans="2:15" x14ac:dyDescent="0.25">
      <c r="B203" s="143"/>
      <c r="C203" s="143"/>
      <c r="D203" s="144"/>
      <c r="E203" s="133"/>
      <c r="F203" s="143"/>
      <c r="G203" s="118"/>
      <c r="H203" s="144"/>
      <c r="I203" s="133"/>
      <c r="J203" s="137"/>
      <c r="K203" s="143"/>
      <c r="L203" s="118"/>
      <c r="M203" s="144"/>
      <c r="N203" s="153"/>
      <c r="O203" s="153"/>
    </row>
    <row r="204" spans="2:15" x14ac:dyDescent="0.25">
      <c r="B204" s="143"/>
      <c r="C204" s="143"/>
      <c r="D204" s="144"/>
      <c r="E204" s="133"/>
      <c r="F204" s="143"/>
      <c r="G204" s="118"/>
      <c r="H204" s="144"/>
      <c r="I204" s="133"/>
      <c r="J204" s="137"/>
      <c r="K204" s="143"/>
      <c r="L204" s="118"/>
      <c r="M204" s="144"/>
      <c r="N204" s="153"/>
      <c r="O204" s="153"/>
    </row>
    <row r="205" spans="2:15" x14ac:dyDescent="0.25">
      <c r="B205" s="143"/>
      <c r="C205" s="143"/>
      <c r="D205" s="144"/>
      <c r="E205" s="133"/>
      <c r="F205" s="143"/>
      <c r="G205" s="118"/>
      <c r="H205" s="144"/>
      <c r="I205" s="133"/>
      <c r="J205" s="137"/>
      <c r="K205" s="143"/>
      <c r="L205" s="118"/>
      <c r="M205" s="144"/>
      <c r="N205" s="153"/>
      <c r="O205" s="153"/>
    </row>
    <row r="206" spans="2:15" x14ac:dyDescent="0.25">
      <c r="B206" s="143"/>
      <c r="C206" s="143"/>
      <c r="D206" s="144"/>
      <c r="E206" s="133"/>
      <c r="F206" s="143"/>
      <c r="G206" s="118"/>
      <c r="H206" s="144"/>
      <c r="I206" s="133"/>
      <c r="J206" s="137"/>
      <c r="K206" s="143"/>
      <c r="L206" s="118"/>
      <c r="M206" s="144"/>
      <c r="N206" s="153"/>
      <c r="O206" s="153"/>
    </row>
    <row r="207" spans="2:15" x14ac:dyDescent="0.25">
      <c r="B207" s="143"/>
      <c r="C207" s="143"/>
      <c r="D207" s="144"/>
      <c r="E207" s="133"/>
      <c r="F207" s="143"/>
      <c r="G207" s="118"/>
      <c r="H207" s="144"/>
      <c r="I207" s="133"/>
      <c r="J207" s="137"/>
      <c r="K207" s="143"/>
      <c r="L207" s="118"/>
      <c r="M207" s="144"/>
      <c r="N207" s="153"/>
      <c r="O207" s="153"/>
    </row>
    <row r="208" spans="2:15" x14ac:dyDescent="0.25">
      <c r="B208" s="143"/>
      <c r="C208" s="143"/>
      <c r="D208" s="144"/>
      <c r="E208" s="133"/>
      <c r="F208" s="143"/>
      <c r="G208" s="118"/>
      <c r="H208" s="144"/>
      <c r="I208" s="133"/>
      <c r="J208" s="137"/>
      <c r="K208" s="143"/>
      <c r="L208" s="118"/>
      <c r="M208" s="144"/>
      <c r="N208" s="153"/>
      <c r="O208" s="153"/>
    </row>
    <row r="209" spans="2:15" x14ac:dyDescent="0.25">
      <c r="B209" s="143"/>
      <c r="C209" s="143"/>
      <c r="D209" s="144"/>
      <c r="E209" s="133"/>
      <c r="F209" s="143"/>
      <c r="G209" s="118"/>
      <c r="H209" s="144"/>
      <c r="I209" s="133"/>
      <c r="J209" s="137"/>
      <c r="K209" s="143"/>
      <c r="L209" s="118"/>
      <c r="M209" s="144"/>
      <c r="N209" s="153"/>
      <c r="O209" s="153"/>
    </row>
    <row r="210" spans="2:15" x14ac:dyDescent="0.25">
      <c r="B210" s="143"/>
      <c r="C210" s="143"/>
      <c r="D210" s="144"/>
      <c r="E210" s="133"/>
      <c r="F210" s="143"/>
      <c r="G210" s="118"/>
      <c r="H210" s="144"/>
      <c r="I210" s="133"/>
      <c r="J210" s="137"/>
      <c r="K210" s="143"/>
      <c r="L210" s="118"/>
      <c r="M210" s="144"/>
      <c r="N210" s="153"/>
      <c r="O210" s="153"/>
    </row>
    <row r="211" spans="2:15" x14ac:dyDescent="0.25">
      <c r="B211" s="143"/>
      <c r="C211" s="143"/>
      <c r="D211" s="144"/>
      <c r="E211" s="133"/>
      <c r="F211" s="143"/>
      <c r="G211" s="118"/>
      <c r="H211" s="144"/>
      <c r="I211" s="133"/>
      <c r="J211" s="137"/>
      <c r="K211" s="143"/>
      <c r="L211" s="118"/>
      <c r="M211" s="144"/>
      <c r="N211" s="153"/>
      <c r="O211" s="153"/>
    </row>
    <row r="212" spans="2:15" x14ac:dyDescent="0.25">
      <c r="B212" s="143"/>
      <c r="C212" s="143"/>
      <c r="D212" s="144"/>
      <c r="E212" s="133"/>
      <c r="F212" s="143"/>
      <c r="G212" s="118"/>
      <c r="H212" s="144"/>
      <c r="I212" s="133"/>
      <c r="J212" s="137"/>
      <c r="K212" s="143"/>
      <c r="L212" s="118"/>
      <c r="M212" s="144"/>
      <c r="N212" s="153"/>
      <c r="O212" s="153"/>
    </row>
    <row r="213" spans="2:15" x14ac:dyDescent="0.25">
      <c r="B213" s="143"/>
      <c r="C213" s="143"/>
      <c r="D213" s="144"/>
      <c r="E213" s="133"/>
      <c r="F213" s="143"/>
      <c r="G213" s="118"/>
      <c r="H213" s="144"/>
      <c r="I213" s="133"/>
      <c r="J213" s="137"/>
      <c r="K213" s="143"/>
      <c r="L213" s="118"/>
      <c r="M213" s="144"/>
      <c r="N213" s="153"/>
      <c r="O213" s="153"/>
    </row>
    <row r="214" spans="2:15" x14ac:dyDescent="0.25">
      <c r="B214" s="143"/>
      <c r="C214" s="143"/>
      <c r="D214" s="144"/>
      <c r="E214" s="133"/>
      <c r="F214" s="143"/>
      <c r="G214" s="118"/>
      <c r="H214" s="144"/>
      <c r="I214" s="133"/>
      <c r="J214" s="137"/>
      <c r="K214" s="143"/>
      <c r="L214" s="118"/>
      <c r="M214" s="144"/>
      <c r="N214" s="153"/>
      <c r="O214" s="153"/>
    </row>
    <row r="215" spans="2:15" x14ac:dyDescent="0.25">
      <c r="B215" s="143"/>
      <c r="C215" s="143"/>
      <c r="D215" s="144"/>
      <c r="E215" s="133"/>
      <c r="F215" s="143"/>
      <c r="G215" s="118"/>
      <c r="H215" s="144"/>
      <c r="I215" s="133"/>
      <c r="J215" s="137"/>
      <c r="K215" s="143"/>
      <c r="L215" s="118"/>
      <c r="M215" s="144"/>
      <c r="N215" s="153"/>
      <c r="O215" s="153"/>
    </row>
    <row r="216" spans="2:15" x14ac:dyDescent="0.25">
      <c r="B216" s="143"/>
      <c r="C216" s="143"/>
      <c r="D216" s="144"/>
      <c r="E216" s="133"/>
      <c r="F216" s="143"/>
      <c r="G216" s="118"/>
      <c r="H216" s="144"/>
      <c r="I216" s="133"/>
      <c r="J216" s="137"/>
      <c r="K216" s="143"/>
      <c r="L216" s="118"/>
      <c r="M216" s="144"/>
      <c r="N216" s="153"/>
      <c r="O216" s="153"/>
    </row>
    <row r="217" spans="2:15" x14ac:dyDescent="0.25">
      <c r="B217" s="143"/>
      <c r="C217" s="143"/>
      <c r="D217" s="144"/>
      <c r="E217" s="133"/>
      <c r="F217" s="143"/>
      <c r="G217" s="118"/>
      <c r="H217" s="144"/>
      <c r="I217" s="133"/>
      <c r="J217" s="137"/>
      <c r="K217" s="143"/>
      <c r="L217" s="118"/>
      <c r="M217" s="144"/>
      <c r="N217" s="153"/>
      <c r="O217" s="153"/>
    </row>
    <row r="218" spans="2:15" x14ac:dyDescent="0.25">
      <c r="B218" s="143"/>
      <c r="C218" s="143"/>
      <c r="D218" s="144"/>
      <c r="E218" s="133"/>
      <c r="F218" s="143"/>
      <c r="G218" s="118"/>
      <c r="H218" s="144"/>
      <c r="I218" s="133"/>
      <c r="J218" s="137"/>
      <c r="K218" s="143"/>
      <c r="L218" s="118"/>
      <c r="M218" s="144"/>
      <c r="N218" s="153"/>
      <c r="O218" s="153"/>
    </row>
    <row r="219" spans="2:15" x14ac:dyDescent="0.25">
      <c r="B219" s="143"/>
      <c r="C219" s="143"/>
      <c r="D219" s="144"/>
      <c r="E219" s="133"/>
      <c r="F219" s="143"/>
      <c r="G219" s="118"/>
      <c r="H219" s="144"/>
      <c r="I219" s="133"/>
      <c r="J219" s="137"/>
      <c r="K219" s="143"/>
      <c r="L219" s="118"/>
      <c r="M219" s="144"/>
      <c r="N219" s="153"/>
      <c r="O219" s="153"/>
    </row>
    <row r="220" spans="2:15" x14ac:dyDescent="0.25">
      <c r="B220" s="143"/>
      <c r="C220" s="143"/>
      <c r="D220" s="144"/>
      <c r="E220" s="133"/>
      <c r="F220" s="143"/>
      <c r="G220" s="118"/>
      <c r="H220" s="144"/>
      <c r="I220" s="133"/>
      <c r="J220" s="137"/>
      <c r="K220" s="143"/>
      <c r="L220" s="118"/>
      <c r="M220" s="144"/>
      <c r="N220" s="153"/>
      <c r="O220" s="153"/>
    </row>
    <row r="221" spans="2:15" x14ac:dyDescent="0.25">
      <c r="B221" s="143"/>
      <c r="C221" s="143"/>
      <c r="D221" s="144"/>
      <c r="E221" s="133"/>
      <c r="F221" s="143"/>
      <c r="G221" s="118"/>
      <c r="H221" s="144"/>
      <c r="I221" s="133"/>
      <c r="J221" s="137"/>
      <c r="K221" s="143"/>
      <c r="L221" s="118"/>
      <c r="M221" s="144"/>
      <c r="N221" s="153"/>
      <c r="O221" s="153"/>
    </row>
    <row r="222" spans="2:15" x14ac:dyDescent="0.25">
      <c r="B222" s="143"/>
      <c r="C222" s="143"/>
      <c r="D222" s="144"/>
      <c r="E222" s="133"/>
      <c r="F222" s="143"/>
      <c r="G222" s="118"/>
      <c r="H222" s="144"/>
      <c r="I222" s="133"/>
      <c r="J222" s="137"/>
      <c r="K222" s="143"/>
      <c r="L222" s="118"/>
      <c r="M222" s="144"/>
      <c r="N222" s="153"/>
      <c r="O222" s="153"/>
    </row>
    <row r="223" spans="2:15" x14ac:dyDescent="0.25">
      <c r="B223" s="143"/>
      <c r="C223" s="143"/>
      <c r="D223" s="144"/>
      <c r="E223" s="133"/>
      <c r="F223" s="143"/>
      <c r="G223" s="118"/>
      <c r="H223" s="144"/>
      <c r="I223" s="133"/>
      <c r="J223" s="137"/>
      <c r="K223" s="143"/>
      <c r="L223" s="118"/>
      <c r="M223" s="144"/>
      <c r="N223" s="153"/>
      <c r="O223" s="153"/>
    </row>
    <row r="224" spans="2:15" x14ac:dyDescent="0.25">
      <c r="B224" s="143"/>
      <c r="C224" s="143"/>
      <c r="D224" s="144"/>
      <c r="E224" s="133"/>
      <c r="F224" s="143"/>
      <c r="G224" s="118"/>
      <c r="H224" s="144"/>
      <c r="I224" s="133"/>
      <c r="J224" s="137"/>
      <c r="K224" s="143"/>
      <c r="L224" s="118"/>
      <c r="M224" s="144"/>
      <c r="N224" s="153"/>
      <c r="O224" s="153"/>
    </row>
    <row r="225" spans="2:15" x14ac:dyDescent="0.25">
      <c r="B225" s="143"/>
      <c r="C225" s="143"/>
      <c r="D225" s="144"/>
      <c r="E225" s="133"/>
      <c r="F225" s="143"/>
      <c r="G225" s="118"/>
      <c r="H225" s="144"/>
      <c r="I225" s="133"/>
      <c r="J225" s="137"/>
      <c r="K225" s="143"/>
      <c r="L225" s="118"/>
      <c r="M225" s="144"/>
      <c r="N225" s="153"/>
      <c r="O225" s="153"/>
    </row>
    <row r="226" spans="2:15" x14ac:dyDescent="0.25">
      <c r="B226" s="143"/>
      <c r="C226" s="143"/>
      <c r="D226" s="144"/>
      <c r="E226" s="133"/>
      <c r="F226" s="143"/>
      <c r="G226" s="118"/>
      <c r="H226" s="144"/>
      <c r="I226" s="133"/>
      <c r="J226" s="137"/>
      <c r="K226" s="143"/>
      <c r="L226" s="118"/>
      <c r="M226" s="144"/>
      <c r="N226" s="153"/>
      <c r="O226" s="153"/>
    </row>
    <row r="227" spans="2:15" x14ac:dyDescent="0.25">
      <c r="B227" s="143"/>
      <c r="C227" s="143"/>
      <c r="D227" s="144"/>
      <c r="E227" s="133"/>
      <c r="F227" s="143"/>
      <c r="G227" s="118"/>
      <c r="H227" s="144"/>
      <c r="I227" s="133"/>
      <c r="J227" s="137"/>
      <c r="K227" s="143"/>
      <c r="L227" s="118"/>
      <c r="M227" s="144"/>
      <c r="N227" s="153"/>
      <c r="O227" s="153"/>
    </row>
    <row r="228" spans="2:15" x14ac:dyDescent="0.25">
      <c r="B228" s="143"/>
      <c r="C228" s="143"/>
      <c r="D228" s="144"/>
      <c r="E228" s="133"/>
      <c r="F228" s="143"/>
      <c r="G228" s="118"/>
      <c r="H228" s="144"/>
      <c r="I228" s="133"/>
      <c r="J228" s="137"/>
      <c r="K228" s="143"/>
      <c r="L228" s="118"/>
      <c r="M228" s="144"/>
      <c r="N228" s="153"/>
      <c r="O228" s="153"/>
    </row>
    <row r="229" spans="2:15" x14ac:dyDescent="0.25">
      <c r="B229" s="143"/>
      <c r="C229" s="143"/>
      <c r="D229" s="144"/>
      <c r="E229" s="133"/>
      <c r="F229" s="143"/>
      <c r="G229" s="118"/>
      <c r="H229" s="144"/>
      <c r="I229" s="133"/>
      <c r="J229" s="137"/>
      <c r="K229" s="143"/>
      <c r="L229" s="118"/>
      <c r="M229" s="144"/>
      <c r="N229" s="153"/>
      <c r="O229" s="153"/>
    </row>
    <row r="230" spans="2:15" x14ac:dyDescent="0.25">
      <c r="B230" s="143"/>
      <c r="C230" s="143"/>
      <c r="D230" s="144"/>
      <c r="E230" s="133"/>
      <c r="F230" s="143"/>
      <c r="G230" s="118"/>
      <c r="H230" s="144"/>
      <c r="I230" s="133"/>
      <c r="J230" s="137"/>
      <c r="K230" s="143"/>
      <c r="L230" s="118"/>
      <c r="M230" s="144"/>
      <c r="N230" s="153"/>
      <c r="O230" s="153"/>
    </row>
    <row r="231" spans="2:15" x14ac:dyDescent="0.25">
      <c r="B231" s="143"/>
      <c r="C231" s="143"/>
      <c r="D231" s="144"/>
      <c r="E231" s="133"/>
      <c r="F231" s="143"/>
      <c r="G231" s="118"/>
      <c r="H231" s="144"/>
      <c r="I231" s="133"/>
      <c r="J231" s="137"/>
      <c r="K231" s="143"/>
      <c r="L231" s="118"/>
      <c r="M231" s="144"/>
      <c r="N231" s="153"/>
      <c r="O231" s="153"/>
    </row>
    <row r="232" spans="2:15" x14ac:dyDescent="0.25">
      <c r="B232" s="143"/>
      <c r="C232" s="143"/>
      <c r="D232" s="144"/>
      <c r="E232" s="133"/>
      <c r="F232" s="143"/>
      <c r="G232" s="118"/>
      <c r="H232" s="144"/>
      <c r="I232" s="133"/>
      <c r="J232" s="137"/>
      <c r="K232" s="143"/>
      <c r="L232" s="118"/>
      <c r="M232" s="144"/>
      <c r="N232" s="153"/>
      <c r="O232" s="153"/>
    </row>
    <row r="233" spans="2:15" x14ac:dyDescent="0.25">
      <c r="B233" s="143"/>
      <c r="C233" s="143"/>
      <c r="D233" s="144"/>
      <c r="E233" s="133"/>
      <c r="F233" s="143"/>
      <c r="G233" s="118"/>
      <c r="H233" s="144"/>
      <c r="I233" s="133"/>
      <c r="J233" s="137"/>
      <c r="K233" s="143"/>
      <c r="L233" s="118"/>
      <c r="M233" s="144"/>
      <c r="N233" s="153"/>
      <c r="O233" s="153"/>
    </row>
    <row r="234" spans="2:15" x14ac:dyDescent="0.25">
      <c r="B234" s="143"/>
      <c r="C234" s="143"/>
      <c r="D234" s="144"/>
      <c r="E234" s="133"/>
      <c r="F234" s="143"/>
      <c r="G234" s="118"/>
      <c r="H234" s="144"/>
      <c r="I234" s="133"/>
      <c r="J234" s="137"/>
      <c r="K234" s="143"/>
      <c r="L234" s="118"/>
      <c r="M234" s="144"/>
      <c r="N234" s="153"/>
      <c r="O234" s="153"/>
    </row>
    <row r="235" spans="2:15" x14ac:dyDescent="0.25">
      <c r="B235" s="143"/>
      <c r="C235" s="143"/>
      <c r="D235" s="144"/>
      <c r="E235" s="133"/>
      <c r="F235" s="143"/>
      <c r="G235" s="118"/>
      <c r="H235" s="144"/>
      <c r="I235" s="133"/>
      <c r="J235" s="137"/>
      <c r="K235" s="143"/>
      <c r="L235" s="118"/>
      <c r="M235" s="144"/>
      <c r="N235" s="153"/>
      <c r="O235" s="153"/>
    </row>
    <row r="236" spans="2:15" x14ac:dyDescent="0.25">
      <c r="B236" s="143"/>
      <c r="C236" s="143"/>
      <c r="D236" s="144"/>
      <c r="E236" s="133"/>
      <c r="F236" s="143"/>
      <c r="G236" s="118"/>
      <c r="H236" s="144"/>
      <c r="I236" s="133"/>
      <c r="J236" s="137"/>
      <c r="K236" s="143"/>
      <c r="L236" s="118"/>
      <c r="M236" s="144"/>
      <c r="N236" s="153"/>
      <c r="O236" s="153"/>
    </row>
    <row r="237" spans="2:15" x14ac:dyDescent="0.25">
      <c r="B237" s="143"/>
      <c r="C237" s="143"/>
      <c r="D237" s="144"/>
      <c r="E237" s="133"/>
      <c r="F237" s="143"/>
      <c r="G237" s="118"/>
      <c r="H237" s="144"/>
      <c r="I237" s="133"/>
      <c r="J237" s="137"/>
      <c r="K237" s="143"/>
      <c r="L237" s="118"/>
      <c r="M237" s="144"/>
      <c r="N237" s="153"/>
      <c r="O237" s="153"/>
    </row>
    <row r="238" spans="2:15" x14ac:dyDescent="0.25">
      <c r="B238" s="143"/>
      <c r="C238" s="143"/>
      <c r="D238" s="144"/>
      <c r="E238" s="133"/>
      <c r="F238" s="143"/>
      <c r="G238" s="118"/>
      <c r="H238" s="144"/>
      <c r="I238" s="133"/>
      <c r="J238" s="137"/>
      <c r="K238" s="143"/>
      <c r="L238" s="118"/>
      <c r="M238" s="144"/>
      <c r="N238" s="153"/>
      <c r="O238" s="153"/>
    </row>
    <row r="239" spans="2:15" x14ac:dyDescent="0.25">
      <c r="B239" s="143"/>
      <c r="C239" s="143"/>
      <c r="D239" s="144"/>
      <c r="E239" s="133"/>
      <c r="F239" s="143"/>
      <c r="G239" s="118"/>
      <c r="H239" s="144"/>
      <c r="I239" s="133"/>
      <c r="J239" s="137"/>
      <c r="K239" s="143"/>
      <c r="L239" s="118"/>
      <c r="M239" s="144"/>
      <c r="N239" s="153"/>
      <c r="O239" s="153"/>
    </row>
    <row r="240" spans="2:15" x14ac:dyDescent="0.25">
      <c r="B240" s="143"/>
      <c r="C240" s="143"/>
      <c r="D240" s="144"/>
      <c r="E240" s="133"/>
      <c r="F240" s="143"/>
      <c r="G240" s="118"/>
      <c r="H240" s="144"/>
      <c r="I240" s="133"/>
      <c r="J240" s="137"/>
      <c r="K240" s="143"/>
      <c r="L240" s="118"/>
      <c r="M240" s="144"/>
      <c r="N240" s="153"/>
      <c r="O240" s="153"/>
    </row>
    <row r="241" spans="2:15" x14ac:dyDescent="0.25">
      <c r="B241" s="143"/>
      <c r="C241" s="143"/>
      <c r="D241" s="144"/>
      <c r="E241" s="133"/>
      <c r="F241" s="143"/>
      <c r="G241" s="118"/>
      <c r="H241" s="144"/>
      <c r="I241" s="133"/>
      <c r="J241" s="137"/>
      <c r="K241" s="143"/>
      <c r="L241" s="118"/>
      <c r="M241" s="144"/>
      <c r="N241" s="153"/>
      <c r="O241" s="153"/>
    </row>
    <row r="242" spans="2:15" x14ac:dyDescent="0.25">
      <c r="B242" s="143"/>
      <c r="C242" s="143"/>
      <c r="D242" s="144"/>
      <c r="E242" s="133"/>
      <c r="F242" s="143"/>
      <c r="G242" s="118"/>
      <c r="H242" s="144"/>
      <c r="I242" s="133"/>
      <c r="J242" s="137"/>
      <c r="K242" s="143"/>
      <c r="L242" s="118"/>
      <c r="M242" s="144"/>
      <c r="N242" s="153"/>
      <c r="O242" s="153"/>
    </row>
    <row r="243" spans="2:15" x14ac:dyDescent="0.25">
      <c r="B243" s="143"/>
      <c r="C243" s="143"/>
      <c r="D243" s="144"/>
      <c r="E243" s="133"/>
      <c r="F243" s="143"/>
      <c r="G243" s="118"/>
      <c r="H243" s="144"/>
      <c r="I243" s="133"/>
      <c r="J243" s="137"/>
      <c r="K243" s="143"/>
      <c r="L243" s="118"/>
      <c r="M243" s="144"/>
      <c r="N243" s="153"/>
      <c r="O243" s="153"/>
    </row>
    <row r="244" spans="2:15" x14ac:dyDescent="0.25">
      <c r="B244" s="143"/>
      <c r="C244" s="143"/>
      <c r="D244" s="144"/>
      <c r="E244" s="133"/>
      <c r="F244" s="143"/>
      <c r="G244" s="118"/>
      <c r="H244" s="144"/>
      <c r="I244" s="133"/>
      <c r="J244" s="137"/>
      <c r="K244" s="143"/>
      <c r="L244" s="118"/>
      <c r="M244" s="144"/>
      <c r="N244" s="153"/>
      <c r="O244" s="153"/>
    </row>
    <row r="245" spans="2:15" x14ac:dyDescent="0.25">
      <c r="B245" s="143"/>
      <c r="C245" s="143"/>
      <c r="D245" s="144"/>
      <c r="E245" s="133"/>
      <c r="F245" s="143"/>
      <c r="G245" s="118"/>
      <c r="H245" s="144"/>
      <c r="I245" s="133"/>
      <c r="J245" s="137"/>
      <c r="K245" s="143"/>
      <c r="L245" s="118"/>
      <c r="M245" s="144"/>
      <c r="N245" s="153"/>
      <c r="O245" s="153"/>
    </row>
    <row r="246" spans="2:15" x14ac:dyDescent="0.25">
      <c r="B246" s="143"/>
      <c r="C246" s="143"/>
      <c r="D246" s="144"/>
      <c r="E246" s="133"/>
      <c r="F246" s="143"/>
      <c r="G246" s="118"/>
      <c r="H246" s="144"/>
      <c r="I246" s="133"/>
      <c r="J246" s="137"/>
      <c r="K246" s="143"/>
      <c r="L246" s="118"/>
      <c r="M246" s="144"/>
      <c r="N246" s="153"/>
      <c r="O246" s="153"/>
    </row>
    <row r="247" spans="2:15" x14ac:dyDescent="0.25">
      <c r="B247" s="143"/>
      <c r="C247" s="143"/>
      <c r="D247" s="144"/>
      <c r="E247" s="133"/>
      <c r="F247" s="143"/>
      <c r="G247" s="118"/>
      <c r="H247" s="144"/>
      <c r="I247" s="133"/>
      <c r="J247" s="137"/>
      <c r="K247" s="143"/>
      <c r="L247" s="118"/>
      <c r="M247" s="144"/>
      <c r="N247" s="153"/>
      <c r="O247" s="153"/>
    </row>
    <row r="248" spans="2:15" x14ac:dyDescent="0.25">
      <c r="B248" s="143"/>
      <c r="C248" s="143"/>
      <c r="D248" s="144"/>
      <c r="E248" s="133"/>
      <c r="F248" s="143"/>
      <c r="G248" s="118"/>
      <c r="H248" s="144"/>
      <c r="I248" s="133"/>
      <c r="J248" s="137"/>
      <c r="K248" s="143"/>
      <c r="L248" s="118"/>
      <c r="M248" s="144"/>
      <c r="N248" s="153"/>
      <c r="O248" s="153"/>
    </row>
    <row r="249" spans="2:15" x14ac:dyDescent="0.25">
      <c r="B249" s="143"/>
      <c r="C249" s="143"/>
      <c r="D249" s="144"/>
      <c r="E249" s="133"/>
      <c r="F249" s="143"/>
      <c r="G249" s="118"/>
      <c r="H249" s="144"/>
      <c r="I249" s="133"/>
      <c r="J249" s="137"/>
      <c r="K249" s="143"/>
      <c r="L249" s="118"/>
      <c r="M249" s="144"/>
      <c r="N249" s="153"/>
      <c r="O249" s="153"/>
    </row>
    <row r="250" spans="2:15" x14ac:dyDescent="0.25">
      <c r="B250" s="143"/>
      <c r="C250" s="143"/>
      <c r="D250" s="144"/>
      <c r="E250" s="133"/>
      <c r="F250" s="143"/>
      <c r="G250" s="118"/>
      <c r="H250" s="144"/>
      <c r="I250" s="133"/>
      <c r="J250" s="137"/>
      <c r="K250" s="143"/>
      <c r="L250" s="118"/>
      <c r="M250" s="144"/>
      <c r="N250" s="153"/>
      <c r="O250" s="153"/>
    </row>
    <row r="251" spans="2:15" x14ac:dyDescent="0.25">
      <c r="B251" s="143"/>
      <c r="C251" s="143"/>
      <c r="D251" s="144"/>
      <c r="E251" s="133"/>
      <c r="F251" s="143"/>
      <c r="G251" s="118"/>
      <c r="H251" s="144"/>
      <c r="I251" s="133"/>
      <c r="J251" s="137"/>
      <c r="K251" s="143"/>
      <c r="L251" s="118"/>
      <c r="M251" s="144"/>
      <c r="N251" s="153"/>
      <c r="O251" s="153"/>
    </row>
    <row r="252" spans="2:15" x14ac:dyDescent="0.25">
      <c r="B252" s="143"/>
      <c r="C252" s="143"/>
      <c r="D252" s="144"/>
      <c r="E252" s="133"/>
      <c r="F252" s="143"/>
      <c r="G252" s="118"/>
      <c r="H252" s="144"/>
      <c r="I252" s="133"/>
      <c r="J252" s="137"/>
      <c r="K252" s="143"/>
      <c r="L252" s="118"/>
      <c r="M252" s="144"/>
      <c r="N252" s="153"/>
      <c r="O252" s="153"/>
    </row>
    <row r="253" spans="2:15" x14ac:dyDescent="0.25">
      <c r="B253" s="143"/>
      <c r="C253" s="143"/>
      <c r="D253" s="144"/>
      <c r="E253" s="133"/>
      <c r="F253" s="143"/>
      <c r="G253" s="118"/>
      <c r="H253" s="144"/>
      <c r="I253" s="133"/>
      <c r="J253" s="137"/>
      <c r="K253" s="143"/>
      <c r="L253" s="118"/>
      <c r="M253" s="144"/>
      <c r="N253" s="153"/>
      <c r="O253" s="153"/>
    </row>
    <row r="254" spans="2:15" x14ac:dyDescent="0.25">
      <c r="B254" s="143"/>
      <c r="C254" s="143"/>
      <c r="D254" s="144"/>
      <c r="E254" s="133"/>
      <c r="F254" s="143"/>
      <c r="G254" s="118"/>
      <c r="H254" s="144"/>
      <c r="I254" s="133"/>
      <c r="J254" s="137"/>
      <c r="K254" s="143"/>
      <c r="L254" s="118"/>
      <c r="M254" s="144"/>
      <c r="N254" s="153"/>
      <c r="O254" s="153"/>
    </row>
    <row r="255" spans="2:15" x14ac:dyDescent="0.25">
      <c r="B255" s="143"/>
      <c r="C255" s="143"/>
      <c r="D255" s="144"/>
      <c r="E255" s="133"/>
      <c r="F255" s="143"/>
      <c r="G255" s="118"/>
      <c r="H255" s="144"/>
      <c r="I255" s="133"/>
      <c r="J255" s="137"/>
      <c r="K255" s="143"/>
      <c r="L255" s="118"/>
      <c r="M255" s="144"/>
      <c r="N255" s="153"/>
      <c r="O255" s="153"/>
    </row>
    <row r="256" spans="2:15" x14ac:dyDescent="0.25">
      <c r="B256" s="143"/>
      <c r="C256" s="143"/>
      <c r="D256" s="144"/>
      <c r="E256" s="133"/>
      <c r="F256" s="143"/>
      <c r="G256" s="118"/>
      <c r="H256" s="144"/>
      <c r="I256" s="133"/>
      <c r="J256" s="137"/>
      <c r="K256" s="143"/>
      <c r="L256" s="118"/>
      <c r="M256" s="144"/>
      <c r="N256" s="153"/>
      <c r="O256" s="153"/>
    </row>
    <row r="257" spans="2:15" x14ac:dyDescent="0.25">
      <c r="B257" s="143"/>
      <c r="C257" s="143"/>
      <c r="D257" s="144"/>
      <c r="E257" s="133"/>
      <c r="F257" s="143"/>
      <c r="G257" s="118"/>
      <c r="H257" s="144"/>
      <c r="I257" s="133"/>
      <c r="J257" s="137"/>
      <c r="K257" s="143"/>
      <c r="L257" s="118"/>
      <c r="M257" s="144"/>
      <c r="N257" s="153"/>
      <c r="O257" s="153"/>
    </row>
    <row r="258" spans="2:15" x14ac:dyDescent="0.25">
      <c r="B258" s="143"/>
      <c r="C258" s="143"/>
      <c r="D258" s="144"/>
      <c r="E258" s="133"/>
      <c r="F258" s="143"/>
      <c r="G258" s="118"/>
      <c r="H258" s="144"/>
      <c r="I258" s="133"/>
      <c r="J258" s="137"/>
      <c r="K258" s="143"/>
      <c r="L258" s="118"/>
      <c r="M258" s="144"/>
      <c r="N258" s="153"/>
      <c r="O258" s="153"/>
    </row>
    <row r="259" spans="2:15" x14ac:dyDescent="0.25">
      <c r="B259" s="143"/>
      <c r="C259" s="143"/>
      <c r="D259" s="144"/>
      <c r="E259" s="133"/>
      <c r="F259" s="143"/>
      <c r="G259" s="118"/>
      <c r="H259" s="144"/>
      <c r="I259" s="133"/>
      <c r="J259" s="137"/>
      <c r="K259" s="143"/>
      <c r="L259" s="118"/>
      <c r="M259" s="144"/>
      <c r="N259" s="153"/>
      <c r="O259" s="153"/>
    </row>
    <row r="260" spans="2:15" x14ac:dyDescent="0.25">
      <c r="B260" s="143"/>
      <c r="C260" s="143"/>
      <c r="D260" s="144"/>
      <c r="E260" s="133"/>
      <c r="F260" s="143"/>
      <c r="G260" s="118"/>
      <c r="H260" s="144"/>
      <c r="I260" s="133"/>
      <c r="J260" s="137"/>
      <c r="K260" s="143"/>
      <c r="L260" s="118"/>
      <c r="M260" s="144"/>
      <c r="N260" s="153"/>
      <c r="O260" s="153"/>
    </row>
    <row r="261" spans="2:15" x14ac:dyDescent="0.25">
      <c r="B261" s="143"/>
      <c r="C261" s="143"/>
      <c r="D261" s="144"/>
      <c r="E261" s="133"/>
      <c r="F261" s="143"/>
      <c r="G261" s="118"/>
      <c r="H261" s="144"/>
      <c r="I261" s="133"/>
      <c r="J261" s="137"/>
      <c r="K261" s="143"/>
      <c r="L261" s="118"/>
      <c r="M261" s="144"/>
      <c r="N261" s="153"/>
      <c r="O261" s="153"/>
    </row>
    <row r="262" spans="2:15" x14ac:dyDescent="0.25">
      <c r="B262" s="143"/>
      <c r="C262" s="143"/>
      <c r="D262" s="144"/>
      <c r="E262" s="133"/>
      <c r="F262" s="143"/>
      <c r="G262" s="118"/>
      <c r="H262" s="144"/>
      <c r="I262" s="133"/>
      <c r="J262" s="137"/>
      <c r="K262" s="143"/>
      <c r="L262" s="118"/>
      <c r="M262" s="144"/>
      <c r="N262" s="153"/>
      <c r="O262" s="153"/>
    </row>
    <row r="263" spans="2:15" x14ac:dyDescent="0.25">
      <c r="B263" s="143"/>
      <c r="C263" s="143"/>
      <c r="D263" s="144"/>
      <c r="E263" s="133"/>
      <c r="F263" s="143"/>
      <c r="G263" s="118"/>
      <c r="H263" s="144"/>
      <c r="I263" s="133"/>
      <c r="J263" s="137"/>
      <c r="K263" s="143"/>
      <c r="L263" s="118"/>
      <c r="M263" s="144"/>
      <c r="N263" s="153"/>
      <c r="O263" s="153"/>
    </row>
    <row r="264" spans="2:15" x14ac:dyDescent="0.25">
      <c r="B264" s="143"/>
      <c r="C264" s="143"/>
      <c r="D264" s="144"/>
      <c r="E264" s="133"/>
      <c r="F264" s="143"/>
      <c r="G264" s="118"/>
      <c r="H264" s="144"/>
      <c r="I264" s="133"/>
      <c r="J264" s="137"/>
      <c r="K264" s="143"/>
      <c r="L264" s="118"/>
      <c r="M264" s="144"/>
      <c r="N264" s="153"/>
      <c r="O264" s="153"/>
    </row>
    <row r="265" spans="2:15" x14ac:dyDescent="0.25">
      <c r="B265" s="143"/>
      <c r="C265" s="143"/>
      <c r="D265" s="144"/>
      <c r="E265" s="133"/>
      <c r="F265" s="143"/>
      <c r="G265" s="118"/>
      <c r="H265" s="144"/>
      <c r="I265" s="133"/>
      <c r="J265" s="137"/>
      <c r="K265" s="143"/>
      <c r="L265" s="118"/>
      <c r="M265" s="144"/>
      <c r="N265" s="153"/>
      <c r="O265" s="153"/>
    </row>
    <row r="266" spans="2:15" x14ac:dyDescent="0.25">
      <c r="B266" s="143"/>
      <c r="C266" s="143"/>
      <c r="D266" s="144"/>
      <c r="E266" s="133"/>
      <c r="F266" s="143"/>
      <c r="G266" s="118"/>
      <c r="H266" s="144"/>
      <c r="I266" s="133"/>
      <c r="J266" s="137"/>
      <c r="K266" s="143"/>
      <c r="L266" s="118"/>
      <c r="M266" s="144"/>
      <c r="N266" s="153"/>
      <c r="O266" s="153"/>
    </row>
    <row r="267" spans="2:15" x14ac:dyDescent="0.25">
      <c r="B267" s="143"/>
      <c r="C267" s="143"/>
      <c r="D267" s="144"/>
      <c r="E267" s="133"/>
      <c r="F267" s="143"/>
      <c r="G267" s="118"/>
      <c r="H267" s="144"/>
      <c r="I267" s="133"/>
      <c r="J267" s="137"/>
      <c r="K267" s="143"/>
      <c r="L267" s="118"/>
      <c r="M267" s="144"/>
      <c r="N267" s="153"/>
      <c r="O267" s="153"/>
    </row>
    <row r="268" spans="2:15" x14ac:dyDescent="0.25">
      <c r="B268" s="143"/>
      <c r="C268" s="143"/>
      <c r="D268" s="144"/>
      <c r="E268" s="133"/>
      <c r="F268" s="143"/>
      <c r="G268" s="118"/>
      <c r="H268" s="144"/>
      <c r="I268" s="133"/>
      <c r="J268" s="137"/>
      <c r="K268" s="143"/>
      <c r="L268" s="118"/>
      <c r="M268" s="144"/>
      <c r="N268" s="153"/>
      <c r="O268" s="153"/>
    </row>
    <row r="269" spans="2:15" x14ac:dyDescent="0.25">
      <c r="B269" s="143"/>
      <c r="C269" s="143"/>
      <c r="D269" s="144"/>
      <c r="E269" s="133"/>
      <c r="F269" s="143"/>
      <c r="G269" s="118"/>
      <c r="H269" s="144"/>
      <c r="I269" s="133"/>
      <c r="J269" s="137"/>
      <c r="K269" s="143"/>
      <c r="L269" s="118"/>
      <c r="M269" s="144"/>
      <c r="N269" s="153"/>
      <c r="O269" s="153"/>
    </row>
    <row r="270" spans="2:15" x14ac:dyDescent="0.25">
      <c r="B270" s="143"/>
      <c r="C270" s="143"/>
      <c r="D270" s="144"/>
      <c r="E270" s="133"/>
      <c r="F270" s="143"/>
      <c r="G270" s="118"/>
      <c r="H270" s="144"/>
      <c r="I270" s="133"/>
      <c r="J270" s="137"/>
      <c r="K270" s="143"/>
      <c r="L270" s="118"/>
      <c r="M270" s="144"/>
      <c r="N270" s="153"/>
      <c r="O270" s="153"/>
    </row>
    <row r="271" spans="2:15" x14ac:dyDescent="0.25">
      <c r="B271" s="143"/>
      <c r="C271" s="143"/>
      <c r="D271" s="144"/>
      <c r="E271" s="133"/>
      <c r="F271" s="143"/>
      <c r="G271" s="118"/>
      <c r="H271" s="144"/>
      <c r="I271" s="133"/>
      <c r="J271" s="137"/>
      <c r="K271" s="143"/>
      <c r="L271" s="118"/>
      <c r="M271" s="144"/>
      <c r="N271" s="153"/>
      <c r="O271" s="153"/>
    </row>
    <row r="272" spans="2:15" x14ac:dyDescent="0.25">
      <c r="B272" s="143"/>
      <c r="C272" s="143"/>
      <c r="D272" s="144"/>
      <c r="E272" s="133"/>
      <c r="F272" s="143"/>
      <c r="G272" s="118"/>
      <c r="H272" s="144"/>
      <c r="I272" s="133"/>
      <c r="J272" s="137"/>
      <c r="K272" s="143"/>
      <c r="L272" s="118"/>
      <c r="M272" s="144"/>
      <c r="N272" s="153"/>
      <c r="O272" s="153"/>
    </row>
    <row r="273" spans="2:15" x14ac:dyDescent="0.25">
      <c r="B273" s="143"/>
      <c r="C273" s="143"/>
      <c r="D273" s="144"/>
      <c r="E273" s="133"/>
      <c r="F273" s="143"/>
      <c r="G273" s="118"/>
      <c r="H273" s="144"/>
      <c r="I273" s="133"/>
      <c r="J273" s="137"/>
      <c r="K273" s="143"/>
      <c r="L273" s="118"/>
      <c r="M273" s="144"/>
      <c r="N273" s="153"/>
      <c r="O273" s="153"/>
    </row>
    <row r="274" spans="2:15" x14ac:dyDescent="0.25">
      <c r="B274" s="143"/>
      <c r="C274" s="143"/>
      <c r="D274" s="144"/>
      <c r="E274" s="133"/>
      <c r="F274" s="143"/>
      <c r="G274" s="118"/>
      <c r="H274" s="144"/>
      <c r="I274" s="133"/>
      <c r="J274" s="137"/>
      <c r="K274" s="143"/>
      <c r="L274" s="118"/>
      <c r="M274" s="144"/>
      <c r="N274" s="153"/>
      <c r="O274" s="153"/>
    </row>
    <row r="275" spans="2:15" x14ac:dyDescent="0.25">
      <c r="B275" s="143"/>
      <c r="C275" s="143"/>
      <c r="D275" s="144"/>
      <c r="E275" s="133"/>
      <c r="F275" s="143"/>
      <c r="G275" s="118"/>
      <c r="H275" s="144"/>
      <c r="I275" s="133"/>
      <c r="J275" s="137"/>
      <c r="K275" s="143"/>
      <c r="L275" s="118"/>
      <c r="M275" s="144"/>
      <c r="N275" s="153"/>
      <c r="O275" s="153"/>
    </row>
    <row r="276" spans="2:15" x14ac:dyDescent="0.25">
      <c r="B276" s="143"/>
      <c r="C276" s="143"/>
      <c r="D276" s="144"/>
      <c r="E276" s="133"/>
      <c r="F276" s="143"/>
      <c r="G276" s="118"/>
      <c r="H276" s="144"/>
      <c r="I276" s="133"/>
      <c r="J276" s="137"/>
      <c r="K276" s="143"/>
      <c r="L276" s="118"/>
      <c r="M276" s="144"/>
      <c r="N276" s="153"/>
      <c r="O276" s="153"/>
    </row>
    <row r="277" spans="2:15" x14ac:dyDescent="0.25">
      <c r="B277" s="143"/>
      <c r="C277" s="143"/>
      <c r="D277" s="144"/>
      <c r="E277" s="133"/>
      <c r="F277" s="143"/>
      <c r="G277" s="118"/>
      <c r="H277" s="144"/>
      <c r="I277" s="133"/>
      <c r="J277" s="137"/>
      <c r="K277" s="143"/>
      <c r="L277" s="118"/>
      <c r="M277" s="144"/>
      <c r="N277" s="153"/>
      <c r="O277" s="153"/>
    </row>
    <row r="278" spans="2:15" x14ac:dyDescent="0.25">
      <c r="B278" s="143"/>
      <c r="C278" s="143"/>
      <c r="D278" s="144"/>
      <c r="E278" s="133"/>
      <c r="F278" s="143"/>
      <c r="G278" s="118"/>
      <c r="H278" s="144"/>
      <c r="I278" s="133"/>
      <c r="J278" s="137"/>
      <c r="K278" s="143"/>
      <c r="L278" s="118"/>
      <c r="M278" s="144"/>
      <c r="N278" s="153"/>
      <c r="O278" s="153"/>
    </row>
    <row r="279" spans="2:15" x14ac:dyDescent="0.25">
      <c r="B279" s="143"/>
      <c r="C279" s="143"/>
      <c r="D279" s="144"/>
      <c r="E279" s="133"/>
      <c r="F279" s="143"/>
      <c r="G279" s="118"/>
      <c r="H279" s="144"/>
      <c r="I279" s="133"/>
      <c r="J279" s="137"/>
      <c r="K279" s="143"/>
      <c r="L279" s="118"/>
      <c r="M279" s="144"/>
      <c r="N279" s="153"/>
      <c r="O279" s="153"/>
    </row>
    <row r="280" spans="2:15" x14ac:dyDescent="0.25">
      <c r="B280" s="143"/>
      <c r="C280" s="143"/>
      <c r="D280" s="144"/>
      <c r="E280" s="133"/>
      <c r="F280" s="143"/>
      <c r="G280" s="118"/>
      <c r="H280" s="144"/>
      <c r="I280" s="133"/>
      <c r="J280" s="137"/>
      <c r="K280" s="143"/>
      <c r="L280" s="118"/>
      <c r="M280" s="144"/>
      <c r="N280" s="153"/>
      <c r="O280" s="153"/>
    </row>
    <row r="281" spans="2:15" x14ac:dyDescent="0.25">
      <c r="B281" s="143"/>
      <c r="C281" s="143"/>
      <c r="D281" s="144"/>
      <c r="E281" s="133"/>
      <c r="F281" s="143"/>
      <c r="G281" s="118"/>
      <c r="H281" s="144"/>
      <c r="I281" s="133"/>
      <c r="J281" s="137"/>
      <c r="K281" s="143"/>
      <c r="L281" s="118"/>
      <c r="M281" s="144"/>
      <c r="N281" s="153"/>
      <c r="O281" s="153"/>
    </row>
    <row r="282" spans="2:15" x14ac:dyDescent="0.25">
      <c r="B282" s="143"/>
      <c r="C282" s="143"/>
      <c r="D282" s="144"/>
      <c r="E282" s="133"/>
      <c r="F282" s="143"/>
      <c r="G282" s="118"/>
      <c r="H282" s="144"/>
      <c r="I282" s="133"/>
      <c r="J282" s="137"/>
      <c r="K282" s="143"/>
      <c r="L282" s="118"/>
      <c r="M282" s="144"/>
      <c r="N282" s="153"/>
      <c r="O282" s="153"/>
    </row>
    <row r="283" spans="2:15" x14ac:dyDescent="0.25">
      <c r="B283" s="143"/>
      <c r="C283" s="143"/>
      <c r="D283" s="144"/>
      <c r="E283" s="133"/>
      <c r="F283" s="143"/>
      <c r="G283" s="118"/>
      <c r="H283" s="144"/>
      <c r="I283" s="133"/>
      <c r="J283" s="137"/>
      <c r="K283" s="143"/>
      <c r="L283" s="118"/>
      <c r="M283" s="144"/>
      <c r="N283" s="153"/>
      <c r="O283" s="153"/>
    </row>
    <row r="284" spans="2:15" x14ac:dyDescent="0.25">
      <c r="B284" s="143"/>
      <c r="C284" s="143"/>
      <c r="D284" s="144"/>
      <c r="E284" s="133"/>
      <c r="F284" s="143"/>
      <c r="G284" s="118"/>
      <c r="H284" s="144"/>
      <c r="I284" s="133"/>
      <c r="J284" s="137"/>
      <c r="K284" s="143"/>
      <c r="L284" s="118"/>
      <c r="M284" s="144"/>
      <c r="N284" s="153"/>
      <c r="O284" s="153"/>
    </row>
    <row r="285" spans="2:15" x14ac:dyDescent="0.25">
      <c r="B285" s="143"/>
      <c r="C285" s="143"/>
      <c r="D285" s="144"/>
      <c r="E285" s="133"/>
      <c r="F285" s="143"/>
      <c r="G285" s="118"/>
      <c r="H285" s="144"/>
      <c r="I285" s="133"/>
      <c r="J285" s="137"/>
      <c r="K285" s="143"/>
      <c r="L285" s="118"/>
      <c r="M285" s="144"/>
      <c r="N285" s="153"/>
      <c r="O285" s="153"/>
    </row>
    <row r="286" spans="2:15" x14ac:dyDescent="0.25">
      <c r="B286" s="143"/>
      <c r="C286" s="143"/>
      <c r="D286" s="144"/>
      <c r="E286" s="133"/>
      <c r="F286" s="143"/>
      <c r="G286" s="118"/>
      <c r="H286" s="144"/>
      <c r="I286" s="133"/>
      <c r="J286" s="137"/>
      <c r="K286" s="143"/>
      <c r="L286" s="118"/>
      <c r="M286" s="144"/>
      <c r="N286" s="153"/>
      <c r="O286" s="153"/>
    </row>
    <row r="287" spans="2:15" x14ac:dyDescent="0.25">
      <c r="B287" s="143"/>
      <c r="C287" s="143"/>
      <c r="D287" s="144"/>
      <c r="E287" s="133"/>
      <c r="F287" s="143"/>
      <c r="G287" s="118"/>
      <c r="H287" s="144"/>
      <c r="I287" s="133"/>
      <c r="J287" s="137"/>
      <c r="K287" s="143"/>
      <c r="L287" s="118"/>
      <c r="M287" s="144"/>
      <c r="N287" s="153"/>
      <c r="O287" s="153"/>
    </row>
    <row r="288" spans="2:15" x14ac:dyDescent="0.25">
      <c r="B288" s="143"/>
      <c r="C288" s="143"/>
      <c r="D288" s="144"/>
      <c r="E288" s="133"/>
      <c r="F288" s="143"/>
      <c r="G288" s="118"/>
      <c r="H288" s="144"/>
      <c r="I288" s="133"/>
      <c r="J288" s="137"/>
      <c r="K288" s="143"/>
      <c r="L288" s="118"/>
      <c r="M288" s="144"/>
      <c r="N288" s="153"/>
      <c r="O288" s="153"/>
    </row>
    <row r="289" spans="2:15" x14ac:dyDescent="0.25">
      <c r="B289" s="143"/>
      <c r="C289" s="143"/>
      <c r="D289" s="144"/>
      <c r="E289" s="133"/>
      <c r="F289" s="143"/>
      <c r="G289" s="118"/>
      <c r="H289" s="144"/>
      <c r="I289" s="133"/>
      <c r="J289" s="137"/>
      <c r="K289" s="143"/>
      <c r="L289" s="118"/>
      <c r="M289" s="144"/>
      <c r="N289" s="153"/>
      <c r="O289" s="153"/>
    </row>
    <row r="290" spans="2:15" x14ac:dyDescent="0.25">
      <c r="B290" s="143"/>
      <c r="C290" s="143"/>
      <c r="D290" s="144"/>
      <c r="E290" s="133"/>
      <c r="F290" s="143"/>
      <c r="G290" s="118"/>
      <c r="H290" s="144"/>
      <c r="I290" s="133"/>
      <c r="J290" s="137"/>
      <c r="K290" s="143"/>
      <c r="L290" s="118"/>
      <c r="M290" s="144"/>
      <c r="N290" s="153"/>
      <c r="O290" s="153"/>
    </row>
    <row r="291" spans="2:15" x14ac:dyDescent="0.25">
      <c r="B291" s="143"/>
      <c r="C291" s="143"/>
      <c r="D291" s="144"/>
      <c r="E291" s="133"/>
      <c r="F291" s="143"/>
      <c r="G291" s="118"/>
      <c r="H291" s="144"/>
      <c r="I291" s="133"/>
      <c r="J291" s="137"/>
      <c r="K291" s="143"/>
      <c r="L291" s="118"/>
      <c r="M291" s="144"/>
      <c r="N291" s="153"/>
      <c r="O291" s="153"/>
    </row>
    <row r="292" spans="2:15" x14ac:dyDescent="0.25">
      <c r="B292" s="143"/>
      <c r="C292" s="143"/>
      <c r="D292" s="144"/>
      <c r="E292" s="133"/>
      <c r="F292" s="143"/>
      <c r="G292" s="118"/>
      <c r="H292" s="144"/>
      <c r="I292" s="133"/>
      <c r="J292" s="137"/>
      <c r="K292" s="143"/>
      <c r="L292" s="118"/>
      <c r="M292" s="144"/>
      <c r="N292" s="153"/>
      <c r="O292" s="153"/>
    </row>
    <row r="293" spans="2:15" x14ac:dyDescent="0.25">
      <c r="B293" s="143"/>
      <c r="C293" s="143"/>
      <c r="D293" s="144"/>
      <c r="E293" s="133"/>
      <c r="F293" s="143"/>
      <c r="G293" s="118"/>
      <c r="H293" s="144"/>
      <c r="I293" s="133"/>
      <c r="J293" s="137"/>
      <c r="K293" s="143"/>
      <c r="L293" s="118"/>
      <c r="M293" s="144"/>
      <c r="N293" s="153"/>
      <c r="O293" s="153"/>
    </row>
    <row r="294" spans="2:15" x14ac:dyDescent="0.25">
      <c r="B294" s="143"/>
      <c r="C294" s="143"/>
      <c r="D294" s="144"/>
      <c r="E294" s="133"/>
      <c r="F294" s="143"/>
      <c r="G294" s="118"/>
      <c r="H294" s="144"/>
      <c r="I294" s="133"/>
      <c r="J294" s="137"/>
      <c r="K294" s="143"/>
      <c r="L294" s="118"/>
      <c r="M294" s="144"/>
      <c r="N294" s="153"/>
      <c r="O294" s="153"/>
    </row>
    <row r="295" spans="2:15" x14ac:dyDescent="0.25">
      <c r="B295" s="143"/>
      <c r="C295" s="143"/>
      <c r="D295" s="144"/>
      <c r="E295" s="133"/>
      <c r="F295" s="143"/>
      <c r="G295" s="118"/>
      <c r="H295" s="144"/>
      <c r="I295" s="133"/>
      <c r="J295" s="137"/>
      <c r="K295" s="143"/>
      <c r="L295" s="118"/>
      <c r="M295" s="144"/>
      <c r="N295" s="153"/>
      <c r="O295" s="153"/>
    </row>
    <row r="296" spans="2:15" x14ac:dyDescent="0.25">
      <c r="B296" s="143"/>
      <c r="C296" s="143"/>
      <c r="D296" s="144"/>
      <c r="E296" s="133"/>
      <c r="F296" s="143"/>
      <c r="G296" s="118"/>
      <c r="H296" s="144"/>
      <c r="I296" s="133"/>
      <c r="J296" s="137"/>
      <c r="K296" s="143"/>
      <c r="L296" s="118"/>
      <c r="M296" s="144"/>
      <c r="N296" s="153"/>
      <c r="O296" s="153"/>
    </row>
    <row r="297" spans="2:15" x14ac:dyDescent="0.25">
      <c r="B297" s="143"/>
      <c r="C297" s="143"/>
      <c r="D297" s="144"/>
      <c r="E297" s="133"/>
      <c r="F297" s="143"/>
      <c r="G297" s="118"/>
      <c r="H297" s="144"/>
      <c r="I297" s="133"/>
      <c r="J297" s="137"/>
      <c r="K297" s="143"/>
      <c r="L297" s="118"/>
      <c r="M297" s="144"/>
      <c r="N297" s="153"/>
      <c r="O297" s="153"/>
    </row>
    <row r="298" spans="2:15" x14ac:dyDescent="0.25">
      <c r="B298" s="143"/>
      <c r="C298" s="143"/>
      <c r="D298" s="144"/>
      <c r="E298" s="133"/>
      <c r="F298" s="143"/>
      <c r="G298" s="118"/>
      <c r="H298" s="144"/>
      <c r="I298" s="133"/>
      <c r="J298" s="137"/>
      <c r="K298" s="143"/>
      <c r="L298" s="118"/>
      <c r="M298" s="144"/>
      <c r="N298" s="153"/>
      <c r="O298" s="153"/>
    </row>
    <row r="299" spans="2:15" x14ac:dyDescent="0.25">
      <c r="B299" s="143"/>
      <c r="C299" s="143"/>
      <c r="D299" s="144"/>
      <c r="E299" s="133"/>
      <c r="F299" s="143"/>
      <c r="G299" s="118"/>
      <c r="H299" s="144"/>
      <c r="I299" s="133"/>
      <c r="J299" s="137"/>
      <c r="K299" s="143"/>
      <c r="L299" s="118"/>
      <c r="M299" s="144"/>
      <c r="N299" s="153"/>
      <c r="O299" s="153"/>
    </row>
    <row r="300" spans="2:15" x14ac:dyDescent="0.25">
      <c r="B300" s="143"/>
      <c r="C300" s="143"/>
      <c r="D300" s="144"/>
      <c r="E300" s="133"/>
      <c r="F300" s="143"/>
      <c r="G300" s="118"/>
      <c r="H300" s="144"/>
      <c r="I300" s="133"/>
      <c r="J300" s="137"/>
      <c r="K300" s="143"/>
      <c r="L300" s="118"/>
      <c r="M300" s="144"/>
      <c r="N300" s="153"/>
      <c r="O300" s="153"/>
    </row>
    <row r="301" spans="2:15" x14ac:dyDescent="0.25">
      <c r="B301" s="143"/>
      <c r="C301" s="143"/>
      <c r="D301" s="144"/>
      <c r="E301" s="133"/>
      <c r="F301" s="143"/>
      <c r="G301" s="118"/>
      <c r="H301" s="144"/>
      <c r="I301" s="133"/>
      <c r="J301" s="137"/>
      <c r="K301" s="143"/>
      <c r="L301" s="118"/>
      <c r="M301" s="144"/>
      <c r="N301" s="153"/>
      <c r="O301" s="153"/>
    </row>
    <row r="302" spans="2:15" x14ac:dyDescent="0.25">
      <c r="B302" s="143"/>
      <c r="C302" s="143"/>
      <c r="D302" s="144"/>
      <c r="E302" s="133"/>
      <c r="F302" s="143"/>
      <c r="G302" s="118"/>
      <c r="H302" s="144"/>
      <c r="I302" s="133"/>
      <c r="J302" s="137"/>
      <c r="K302" s="143"/>
      <c r="L302" s="118"/>
      <c r="M302" s="144"/>
      <c r="N302" s="153"/>
      <c r="O302" s="153"/>
    </row>
    <row r="303" spans="2:15" x14ac:dyDescent="0.25">
      <c r="B303" s="143"/>
      <c r="C303" s="143"/>
      <c r="D303" s="144"/>
      <c r="E303" s="133"/>
      <c r="F303" s="143"/>
      <c r="G303" s="118"/>
      <c r="H303" s="144"/>
      <c r="I303" s="133"/>
      <c r="J303" s="137"/>
      <c r="K303" s="143"/>
      <c r="L303" s="118"/>
      <c r="M303" s="144"/>
      <c r="N303" s="153"/>
      <c r="O303" s="153"/>
    </row>
    <row r="304" spans="2:15" x14ac:dyDescent="0.25">
      <c r="B304" s="143"/>
      <c r="C304" s="143"/>
      <c r="D304" s="144"/>
      <c r="E304" s="133"/>
      <c r="F304" s="143"/>
      <c r="G304" s="118"/>
      <c r="H304" s="144"/>
      <c r="I304" s="133"/>
      <c r="J304" s="137"/>
      <c r="K304" s="143"/>
      <c r="L304" s="118"/>
      <c r="M304" s="144"/>
      <c r="N304" s="153"/>
      <c r="O304" s="153"/>
    </row>
    <row r="305" spans="2:15" x14ac:dyDescent="0.25">
      <c r="B305" s="143"/>
      <c r="C305" s="143"/>
      <c r="D305" s="144"/>
      <c r="E305" s="133"/>
      <c r="F305" s="143"/>
      <c r="G305" s="118"/>
      <c r="H305" s="144"/>
      <c r="I305" s="133"/>
      <c r="J305" s="137"/>
      <c r="K305" s="143"/>
      <c r="L305" s="118"/>
      <c r="M305" s="144"/>
      <c r="N305" s="153"/>
      <c r="O305" s="153"/>
    </row>
    <row r="306" spans="2:15" x14ac:dyDescent="0.25">
      <c r="B306" s="143"/>
      <c r="C306" s="143"/>
      <c r="D306" s="144"/>
      <c r="E306" s="133"/>
      <c r="F306" s="143"/>
      <c r="G306" s="118"/>
      <c r="H306" s="144"/>
      <c r="I306" s="133"/>
      <c r="J306" s="137"/>
      <c r="K306" s="143"/>
      <c r="L306" s="118"/>
      <c r="M306" s="144"/>
      <c r="N306" s="153"/>
      <c r="O306" s="153"/>
    </row>
    <row r="307" spans="2:15" x14ac:dyDescent="0.25">
      <c r="B307" s="143"/>
      <c r="C307" s="143"/>
      <c r="D307" s="144"/>
      <c r="E307" s="133"/>
      <c r="F307" s="143"/>
      <c r="G307" s="118"/>
      <c r="H307" s="144"/>
      <c r="I307" s="133"/>
      <c r="J307" s="137"/>
      <c r="K307" s="143"/>
      <c r="L307" s="118"/>
      <c r="M307" s="144"/>
      <c r="N307" s="153"/>
      <c r="O307" s="153"/>
    </row>
    <row r="308" spans="2:15" x14ac:dyDescent="0.25">
      <c r="B308" s="143"/>
      <c r="C308" s="143"/>
      <c r="D308" s="144"/>
      <c r="E308" s="133"/>
      <c r="F308" s="143"/>
      <c r="G308" s="118"/>
      <c r="H308" s="144"/>
      <c r="I308" s="133"/>
      <c r="J308" s="137"/>
      <c r="K308" s="143"/>
      <c r="L308" s="118"/>
      <c r="M308" s="144"/>
      <c r="N308" s="153"/>
      <c r="O308" s="153"/>
    </row>
    <row r="309" spans="2:15" x14ac:dyDescent="0.25">
      <c r="B309" s="143"/>
      <c r="C309" s="143"/>
      <c r="D309" s="144"/>
      <c r="E309" s="133"/>
      <c r="F309" s="143"/>
      <c r="G309" s="118"/>
      <c r="H309" s="144"/>
      <c r="I309" s="133"/>
      <c r="J309" s="137"/>
      <c r="K309" s="143"/>
      <c r="L309" s="118"/>
      <c r="M309" s="144"/>
      <c r="N309" s="153"/>
      <c r="O309" s="153"/>
    </row>
    <row r="310" spans="2:15" x14ac:dyDescent="0.25">
      <c r="B310" s="143"/>
      <c r="C310" s="143"/>
      <c r="D310" s="144"/>
      <c r="E310" s="133"/>
      <c r="F310" s="143"/>
      <c r="G310" s="118"/>
      <c r="H310" s="144"/>
      <c r="I310" s="133"/>
      <c r="J310" s="137"/>
      <c r="K310" s="143"/>
      <c r="L310" s="118"/>
      <c r="M310" s="144"/>
      <c r="N310" s="153"/>
      <c r="O310" s="153"/>
    </row>
    <row r="311" spans="2:15" x14ac:dyDescent="0.25">
      <c r="B311" s="143"/>
      <c r="C311" s="143"/>
      <c r="D311" s="144"/>
      <c r="E311" s="133"/>
      <c r="F311" s="143"/>
      <c r="G311" s="118"/>
      <c r="H311" s="144"/>
      <c r="I311" s="133"/>
      <c r="J311" s="137"/>
      <c r="K311" s="143"/>
      <c r="L311" s="118"/>
      <c r="M311" s="144"/>
      <c r="N311" s="153"/>
      <c r="O311" s="153"/>
    </row>
    <row r="312" spans="2:15" x14ac:dyDescent="0.25">
      <c r="B312" s="143"/>
      <c r="C312" s="143"/>
      <c r="D312" s="144"/>
      <c r="E312" s="133"/>
      <c r="F312" s="143"/>
      <c r="G312" s="118"/>
      <c r="H312" s="144"/>
      <c r="I312" s="133"/>
      <c r="J312" s="137"/>
      <c r="K312" s="143"/>
      <c r="L312" s="118"/>
      <c r="M312" s="144"/>
      <c r="N312" s="153"/>
      <c r="O312" s="153"/>
    </row>
    <row r="313" spans="2:15" x14ac:dyDescent="0.25">
      <c r="B313" s="143"/>
      <c r="C313" s="143"/>
      <c r="D313" s="144"/>
      <c r="E313" s="133"/>
      <c r="F313" s="143"/>
      <c r="G313" s="118"/>
      <c r="H313" s="144"/>
      <c r="I313" s="133"/>
      <c r="J313" s="137"/>
      <c r="K313" s="143"/>
      <c r="L313" s="118"/>
      <c r="M313" s="144"/>
      <c r="N313" s="153"/>
      <c r="O313" s="153"/>
    </row>
    <row r="314" spans="2:15" x14ac:dyDescent="0.25">
      <c r="B314" s="143"/>
      <c r="C314" s="143"/>
      <c r="D314" s="144"/>
      <c r="E314" s="133"/>
      <c r="F314" s="143"/>
      <c r="G314" s="118"/>
      <c r="H314" s="144"/>
      <c r="I314" s="133"/>
      <c r="J314" s="137"/>
      <c r="K314" s="143"/>
      <c r="L314" s="118"/>
      <c r="M314" s="144"/>
      <c r="N314" s="153"/>
      <c r="O314" s="153"/>
    </row>
    <row r="315" spans="2:15" x14ac:dyDescent="0.25">
      <c r="B315" s="143"/>
      <c r="C315" s="143"/>
      <c r="D315" s="144"/>
      <c r="E315" s="133"/>
      <c r="F315" s="143"/>
      <c r="G315" s="118"/>
      <c r="H315" s="144"/>
      <c r="I315" s="133"/>
      <c r="J315" s="137"/>
      <c r="K315" s="143"/>
      <c r="L315" s="118"/>
      <c r="M315" s="144"/>
      <c r="N315" s="153"/>
      <c r="O315" s="153"/>
    </row>
    <row r="316" spans="2:15" x14ac:dyDescent="0.25">
      <c r="B316" s="143"/>
      <c r="C316" s="143"/>
      <c r="D316" s="144"/>
      <c r="E316" s="133"/>
      <c r="F316" s="143"/>
      <c r="G316" s="118"/>
      <c r="H316" s="144"/>
      <c r="I316" s="133"/>
      <c r="J316" s="137"/>
      <c r="K316" s="143"/>
      <c r="L316" s="118"/>
      <c r="M316" s="144"/>
      <c r="N316" s="153"/>
      <c r="O316" s="153"/>
    </row>
    <row r="317" spans="2:15" x14ac:dyDescent="0.25">
      <c r="B317" s="143"/>
      <c r="C317" s="143"/>
      <c r="D317" s="144"/>
      <c r="E317" s="133"/>
      <c r="F317" s="143"/>
      <c r="G317" s="118"/>
      <c r="H317" s="144"/>
      <c r="I317" s="133"/>
      <c r="J317" s="137"/>
      <c r="K317" s="143"/>
      <c r="L317" s="118"/>
      <c r="M317" s="144"/>
      <c r="N317" s="153"/>
      <c r="O317" s="153"/>
    </row>
    <row r="318" spans="2:15" x14ac:dyDescent="0.25">
      <c r="B318" s="143"/>
      <c r="C318" s="143"/>
      <c r="D318" s="144"/>
      <c r="E318" s="133"/>
      <c r="F318" s="143"/>
      <c r="G318" s="118"/>
      <c r="H318" s="144"/>
      <c r="I318" s="133"/>
      <c r="J318" s="137"/>
      <c r="K318" s="143"/>
      <c r="L318" s="118"/>
      <c r="M318" s="144"/>
      <c r="N318" s="153"/>
      <c r="O318" s="153"/>
    </row>
    <row r="319" spans="2:15" x14ac:dyDescent="0.25">
      <c r="B319" s="143"/>
      <c r="C319" s="143"/>
      <c r="D319" s="144"/>
      <c r="E319" s="133"/>
      <c r="F319" s="143"/>
      <c r="G319" s="118"/>
      <c r="H319" s="144"/>
      <c r="I319" s="133"/>
      <c r="J319" s="137"/>
      <c r="K319" s="143"/>
      <c r="L319" s="118"/>
      <c r="M319" s="144"/>
      <c r="N319" s="153"/>
      <c r="O319" s="153"/>
    </row>
    <row r="320" spans="2:15" x14ac:dyDescent="0.25">
      <c r="B320" s="143"/>
      <c r="C320" s="143"/>
      <c r="D320" s="144"/>
      <c r="E320" s="133"/>
      <c r="F320" s="143"/>
      <c r="G320" s="118"/>
      <c r="H320" s="144"/>
      <c r="I320" s="133"/>
      <c r="J320" s="137"/>
      <c r="K320" s="143"/>
      <c r="L320" s="118"/>
      <c r="M320" s="144"/>
      <c r="N320" s="153"/>
      <c r="O320" s="153"/>
    </row>
    <row r="321" spans="2:15" x14ac:dyDescent="0.25">
      <c r="B321" s="143"/>
      <c r="C321" s="143"/>
      <c r="D321" s="144"/>
      <c r="E321" s="133"/>
      <c r="F321" s="143"/>
      <c r="G321" s="118"/>
      <c r="H321" s="144"/>
      <c r="I321" s="133"/>
      <c r="J321" s="137"/>
      <c r="K321" s="143"/>
      <c r="L321" s="118"/>
      <c r="M321" s="144"/>
      <c r="N321" s="153"/>
      <c r="O321" s="153"/>
    </row>
    <row r="322" spans="2:15" x14ac:dyDescent="0.25">
      <c r="B322" s="143"/>
      <c r="C322" s="143"/>
      <c r="D322" s="144"/>
      <c r="E322" s="133"/>
      <c r="F322" s="143"/>
      <c r="G322" s="118"/>
      <c r="H322" s="144"/>
      <c r="I322" s="133"/>
      <c r="J322" s="137"/>
      <c r="K322" s="143"/>
      <c r="L322" s="118"/>
      <c r="M322" s="144"/>
      <c r="N322" s="153"/>
      <c r="O322" s="153"/>
    </row>
    <row r="323" spans="2:15" x14ac:dyDescent="0.25">
      <c r="B323" s="143"/>
      <c r="C323" s="143"/>
      <c r="D323" s="144"/>
      <c r="E323" s="133"/>
      <c r="F323" s="143"/>
      <c r="G323" s="118"/>
      <c r="H323" s="144"/>
      <c r="I323" s="133"/>
      <c r="J323" s="137"/>
      <c r="K323" s="143"/>
      <c r="L323" s="118"/>
      <c r="M323" s="144"/>
      <c r="N323" s="153"/>
      <c r="O323" s="153"/>
    </row>
    <row r="324" spans="2:15" x14ac:dyDescent="0.25">
      <c r="B324" s="143"/>
      <c r="C324" s="143"/>
      <c r="D324" s="144"/>
      <c r="E324" s="133"/>
      <c r="F324" s="143"/>
      <c r="G324" s="118"/>
      <c r="H324" s="144"/>
      <c r="I324" s="133"/>
      <c r="J324" s="137"/>
      <c r="K324" s="143"/>
      <c r="L324" s="118"/>
      <c r="M324" s="144"/>
      <c r="N324" s="153"/>
      <c r="O324" s="153"/>
    </row>
    <row r="325" spans="2:15" x14ac:dyDescent="0.25">
      <c r="B325" s="143"/>
      <c r="C325" s="143"/>
      <c r="D325" s="144"/>
      <c r="E325" s="133"/>
      <c r="F325" s="143"/>
      <c r="G325" s="118"/>
      <c r="H325" s="144"/>
      <c r="I325" s="133"/>
      <c r="J325" s="137"/>
      <c r="K325" s="143"/>
      <c r="L325" s="118"/>
      <c r="M325" s="144"/>
      <c r="N325" s="153"/>
      <c r="O325" s="153"/>
    </row>
    <row r="326" spans="2:15" x14ac:dyDescent="0.25">
      <c r="B326" s="143"/>
      <c r="C326" s="143"/>
      <c r="D326" s="144"/>
      <c r="E326" s="133"/>
      <c r="F326" s="143"/>
      <c r="G326" s="118"/>
      <c r="H326" s="144"/>
      <c r="I326" s="133"/>
      <c r="J326" s="137"/>
      <c r="K326" s="143"/>
      <c r="L326" s="118"/>
      <c r="M326" s="144"/>
      <c r="N326" s="153"/>
      <c r="O326" s="153"/>
    </row>
    <row r="327" spans="2:15" x14ac:dyDescent="0.25">
      <c r="B327" s="143"/>
      <c r="C327" s="143"/>
      <c r="D327" s="144"/>
      <c r="E327" s="133"/>
      <c r="F327" s="143"/>
      <c r="G327" s="118"/>
      <c r="H327" s="144"/>
      <c r="I327" s="133"/>
      <c r="J327" s="137"/>
      <c r="K327" s="143"/>
      <c r="L327" s="118"/>
      <c r="M327" s="144"/>
      <c r="N327" s="153"/>
      <c r="O327" s="153"/>
    </row>
    <row r="328" spans="2:15" x14ac:dyDescent="0.25">
      <c r="B328" s="143"/>
      <c r="C328" s="143"/>
      <c r="D328" s="144"/>
      <c r="E328" s="133"/>
      <c r="F328" s="143"/>
      <c r="G328" s="118"/>
      <c r="H328" s="144"/>
      <c r="I328" s="133"/>
      <c r="J328" s="137"/>
      <c r="K328" s="143"/>
      <c r="L328" s="118"/>
      <c r="M328" s="144"/>
      <c r="N328" s="153"/>
      <c r="O328" s="153"/>
    </row>
    <row r="329" spans="2:15" x14ac:dyDescent="0.25">
      <c r="B329" s="143"/>
      <c r="C329" s="143"/>
      <c r="D329" s="144"/>
      <c r="E329" s="133"/>
      <c r="F329" s="143"/>
      <c r="G329" s="118"/>
      <c r="H329" s="144"/>
      <c r="I329" s="133"/>
      <c r="J329" s="137"/>
      <c r="K329" s="143"/>
      <c r="L329" s="118"/>
      <c r="M329" s="144"/>
      <c r="N329" s="153"/>
      <c r="O329" s="153"/>
    </row>
    <row r="330" spans="2:15" x14ac:dyDescent="0.25">
      <c r="B330" s="143"/>
      <c r="C330" s="143"/>
      <c r="D330" s="144"/>
      <c r="E330" s="133"/>
      <c r="F330" s="143"/>
      <c r="G330" s="118"/>
      <c r="H330" s="144"/>
      <c r="I330" s="133"/>
      <c r="J330" s="137"/>
      <c r="K330" s="143"/>
      <c r="L330" s="118"/>
      <c r="M330" s="144"/>
      <c r="N330" s="153"/>
      <c r="O330" s="153"/>
    </row>
    <row r="331" spans="2:15" x14ac:dyDescent="0.25">
      <c r="B331" s="143"/>
      <c r="C331" s="143"/>
      <c r="D331" s="144"/>
      <c r="E331" s="133"/>
      <c r="F331" s="143"/>
      <c r="G331" s="118"/>
      <c r="H331" s="144"/>
      <c r="I331" s="133"/>
      <c r="J331" s="137"/>
      <c r="K331" s="143"/>
      <c r="L331" s="118"/>
      <c r="M331" s="144"/>
      <c r="N331" s="153"/>
      <c r="O331" s="153"/>
    </row>
    <row r="332" spans="2:15" x14ac:dyDescent="0.25">
      <c r="B332" s="143"/>
      <c r="C332" s="143"/>
      <c r="D332" s="144"/>
      <c r="E332" s="133"/>
      <c r="F332" s="143"/>
      <c r="G332" s="118"/>
      <c r="H332" s="144"/>
      <c r="I332" s="133"/>
      <c r="J332" s="137"/>
      <c r="K332" s="143"/>
      <c r="L332" s="118"/>
      <c r="M332" s="144"/>
      <c r="N332" s="153"/>
      <c r="O332" s="153"/>
    </row>
    <row r="333" spans="2:15" x14ac:dyDescent="0.25">
      <c r="B333" s="143"/>
      <c r="C333" s="143"/>
      <c r="D333" s="144"/>
      <c r="E333" s="133"/>
      <c r="F333" s="143"/>
      <c r="G333" s="118"/>
      <c r="H333" s="144"/>
      <c r="I333" s="133"/>
      <c r="J333" s="137"/>
      <c r="K333" s="143"/>
      <c r="L333" s="118"/>
      <c r="M333" s="144"/>
      <c r="N333" s="153"/>
      <c r="O333" s="153"/>
    </row>
    <row r="334" spans="2:15" x14ac:dyDescent="0.25">
      <c r="B334" s="143"/>
      <c r="C334" s="143"/>
      <c r="D334" s="144"/>
      <c r="E334" s="133"/>
      <c r="F334" s="143"/>
      <c r="G334" s="118"/>
      <c r="H334" s="144"/>
      <c r="I334" s="133"/>
      <c r="J334" s="137"/>
      <c r="K334" s="143"/>
      <c r="L334" s="118"/>
      <c r="M334" s="144"/>
      <c r="N334" s="153"/>
      <c r="O334" s="153"/>
    </row>
    <row r="335" spans="2:15" x14ac:dyDescent="0.25">
      <c r="B335" s="143"/>
      <c r="C335" s="143"/>
      <c r="D335" s="144"/>
      <c r="E335" s="133"/>
      <c r="F335" s="143"/>
      <c r="G335" s="118"/>
      <c r="H335" s="144"/>
      <c r="I335" s="133"/>
      <c r="J335" s="137"/>
      <c r="K335" s="143"/>
      <c r="L335" s="118"/>
      <c r="M335" s="144"/>
      <c r="N335" s="153"/>
      <c r="O335" s="153"/>
    </row>
    <row r="336" spans="2:15" x14ac:dyDescent="0.25">
      <c r="B336" s="143"/>
      <c r="C336" s="143"/>
      <c r="D336" s="144"/>
      <c r="E336" s="133"/>
      <c r="F336" s="143"/>
      <c r="G336" s="118"/>
      <c r="H336" s="144"/>
      <c r="I336" s="133"/>
      <c r="J336" s="137"/>
      <c r="K336" s="143"/>
      <c r="L336" s="118"/>
      <c r="M336" s="144"/>
      <c r="N336" s="153"/>
      <c r="O336" s="153"/>
    </row>
    <row r="337" spans="2:15" x14ac:dyDescent="0.25">
      <c r="B337" s="143"/>
      <c r="C337" s="143"/>
      <c r="D337" s="144"/>
      <c r="E337" s="133"/>
      <c r="F337" s="143"/>
      <c r="G337" s="118"/>
      <c r="H337" s="144"/>
      <c r="I337" s="133"/>
      <c r="J337" s="137"/>
      <c r="K337" s="143"/>
      <c r="L337" s="118"/>
      <c r="M337" s="144"/>
      <c r="N337" s="153"/>
      <c r="O337" s="153"/>
    </row>
    <row r="338" spans="2:15" x14ac:dyDescent="0.25">
      <c r="B338" s="143"/>
      <c r="C338" s="143"/>
      <c r="D338" s="144"/>
      <c r="E338" s="133"/>
      <c r="F338" s="143"/>
      <c r="G338" s="118"/>
      <c r="H338" s="144"/>
      <c r="I338" s="133"/>
      <c r="J338" s="137"/>
      <c r="K338" s="143"/>
      <c r="L338" s="118"/>
      <c r="M338" s="144"/>
      <c r="N338" s="153"/>
      <c r="O338" s="153"/>
    </row>
    <row r="339" spans="2:15" x14ac:dyDescent="0.25">
      <c r="B339" s="143"/>
      <c r="C339" s="143"/>
      <c r="D339" s="144"/>
      <c r="E339" s="133"/>
      <c r="F339" s="143"/>
      <c r="G339" s="118"/>
      <c r="H339" s="144"/>
      <c r="I339" s="133"/>
      <c r="J339" s="137"/>
      <c r="K339" s="143"/>
      <c r="L339" s="118"/>
      <c r="M339" s="144"/>
      <c r="N339" s="153"/>
      <c r="O339" s="153"/>
    </row>
    <row r="340" spans="2:15" x14ac:dyDescent="0.25">
      <c r="B340" s="143"/>
      <c r="C340" s="143"/>
      <c r="D340" s="144"/>
      <c r="E340" s="133"/>
      <c r="F340" s="143"/>
      <c r="G340" s="118"/>
      <c r="H340" s="144"/>
      <c r="I340" s="133"/>
      <c r="J340" s="137"/>
      <c r="K340" s="143"/>
      <c r="L340" s="118"/>
      <c r="M340" s="144"/>
      <c r="N340" s="153"/>
      <c r="O340" s="153"/>
    </row>
    <row r="341" spans="2:15" x14ac:dyDescent="0.25">
      <c r="B341" s="143"/>
      <c r="C341" s="143"/>
      <c r="D341" s="144"/>
      <c r="E341" s="133"/>
      <c r="F341" s="143"/>
      <c r="G341" s="118"/>
      <c r="H341" s="144"/>
      <c r="I341" s="133"/>
      <c r="J341" s="137"/>
      <c r="K341" s="143"/>
      <c r="L341" s="118"/>
      <c r="M341" s="144"/>
      <c r="N341" s="153"/>
      <c r="O341" s="153"/>
    </row>
    <row r="342" spans="2:15" x14ac:dyDescent="0.25">
      <c r="B342" s="143"/>
      <c r="C342" s="143"/>
      <c r="D342" s="144"/>
      <c r="E342" s="133"/>
      <c r="F342" s="143"/>
      <c r="G342" s="118"/>
      <c r="H342" s="144"/>
      <c r="I342" s="133"/>
      <c r="J342" s="137"/>
      <c r="K342" s="143"/>
      <c r="L342" s="118"/>
      <c r="M342" s="144"/>
      <c r="N342" s="153"/>
      <c r="O342" s="153"/>
    </row>
    <row r="343" spans="2:15" x14ac:dyDescent="0.25">
      <c r="B343" s="143"/>
      <c r="C343" s="143"/>
      <c r="D343" s="144"/>
      <c r="E343" s="133"/>
      <c r="F343" s="143"/>
      <c r="G343" s="118"/>
      <c r="H343" s="144"/>
      <c r="I343" s="133"/>
      <c r="J343" s="137"/>
      <c r="K343" s="143"/>
      <c r="L343" s="118"/>
      <c r="M343" s="144"/>
      <c r="N343" s="153"/>
      <c r="O343" s="153"/>
    </row>
    <row r="344" spans="2:15" x14ac:dyDescent="0.25">
      <c r="B344" s="143"/>
      <c r="C344" s="143"/>
      <c r="D344" s="144"/>
      <c r="E344" s="133"/>
      <c r="F344" s="143"/>
      <c r="G344" s="118"/>
      <c r="H344" s="144"/>
      <c r="I344" s="133"/>
      <c r="J344" s="137"/>
      <c r="K344" s="143"/>
      <c r="L344" s="118"/>
      <c r="M344" s="144"/>
      <c r="N344" s="153"/>
      <c r="O344" s="153"/>
    </row>
    <row r="345" spans="2:15" x14ac:dyDescent="0.25">
      <c r="B345" s="143"/>
      <c r="C345" s="143"/>
      <c r="D345" s="144"/>
      <c r="E345" s="133"/>
      <c r="F345" s="143"/>
      <c r="G345" s="118"/>
      <c r="H345" s="144"/>
      <c r="I345" s="133"/>
      <c r="J345" s="137"/>
      <c r="K345" s="143"/>
      <c r="L345" s="118"/>
      <c r="M345" s="144"/>
      <c r="N345" s="153"/>
      <c r="O345" s="153"/>
    </row>
    <row r="346" spans="2:15" x14ac:dyDescent="0.25">
      <c r="B346" s="143"/>
      <c r="C346" s="143"/>
      <c r="D346" s="144"/>
      <c r="E346" s="133"/>
      <c r="F346" s="143"/>
      <c r="G346" s="118"/>
      <c r="H346" s="144"/>
      <c r="I346" s="133"/>
      <c r="J346" s="137"/>
      <c r="K346" s="143"/>
      <c r="L346" s="118"/>
      <c r="M346" s="144"/>
      <c r="N346" s="153"/>
      <c r="O346" s="153"/>
    </row>
    <row r="347" spans="2:15" x14ac:dyDescent="0.25">
      <c r="B347" s="143"/>
      <c r="C347" s="143"/>
      <c r="D347" s="144"/>
      <c r="E347" s="133"/>
      <c r="F347" s="143"/>
      <c r="G347" s="118"/>
      <c r="H347" s="144"/>
      <c r="I347" s="133"/>
      <c r="J347" s="137"/>
      <c r="K347" s="143"/>
      <c r="L347" s="118"/>
      <c r="M347" s="144"/>
      <c r="N347" s="153"/>
      <c r="O347" s="153"/>
    </row>
    <row r="348" spans="2:15" x14ac:dyDescent="0.25">
      <c r="B348" s="143"/>
      <c r="C348" s="143"/>
      <c r="D348" s="144"/>
      <c r="E348" s="133"/>
      <c r="F348" s="143"/>
      <c r="G348" s="118"/>
      <c r="H348" s="144"/>
      <c r="I348" s="133"/>
      <c r="J348" s="137"/>
      <c r="K348" s="143"/>
      <c r="L348" s="118"/>
      <c r="M348" s="144"/>
      <c r="N348" s="153"/>
      <c r="O348" s="153"/>
    </row>
    <row r="349" spans="2:15" x14ac:dyDescent="0.25">
      <c r="B349" s="143"/>
      <c r="C349" s="143"/>
      <c r="D349" s="144"/>
      <c r="E349" s="133"/>
      <c r="F349" s="143"/>
      <c r="G349" s="118"/>
      <c r="H349" s="144"/>
      <c r="I349" s="133"/>
      <c r="J349" s="137"/>
      <c r="K349" s="143"/>
      <c r="L349" s="118"/>
      <c r="M349" s="144"/>
      <c r="N349" s="153"/>
      <c r="O349" s="153"/>
    </row>
    <row r="350" spans="2:15" x14ac:dyDescent="0.25">
      <c r="B350" s="143"/>
      <c r="C350" s="143"/>
      <c r="D350" s="144"/>
      <c r="E350" s="133"/>
      <c r="F350" s="143"/>
      <c r="G350" s="118"/>
      <c r="H350" s="144"/>
      <c r="I350" s="133"/>
      <c r="J350" s="137"/>
      <c r="K350" s="143"/>
      <c r="L350" s="118"/>
      <c r="M350" s="144"/>
      <c r="N350" s="153"/>
      <c r="O350" s="153"/>
    </row>
    <row r="351" spans="2:15" x14ac:dyDescent="0.25">
      <c r="B351" s="143"/>
      <c r="C351" s="143"/>
      <c r="D351" s="144"/>
      <c r="E351" s="133"/>
      <c r="F351" s="143"/>
      <c r="G351" s="118"/>
      <c r="H351" s="144"/>
      <c r="I351" s="133"/>
      <c r="J351" s="137"/>
      <c r="K351" s="143"/>
      <c r="L351" s="118"/>
      <c r="M351" s="144"/>
      <c r="N351" s="153"/>
      <c r="O351" s="153"/>
    </row>
    <row r="352" spans="2:15" x14ac:dyDescent="0.25">
      <c r="B352" s="143"/>
      <c r="C352" s="143"/>
      <c r="D352" s="144"/>
      <c r="E352" s="133"/>
      <c r="F352" s="143"/>
      <c r="G352" s="118"/>
      <c r="H352" s="144"/>
      <c r="I352" s="133"/>
      <c r="J352" s="137"/>
      <c r="K352" s="143"/>
      <c r="L352" s="118"/>
      <c r="M352" s="144"/>
      <c r="N352" s="153"/>
      <c r="O352" s="153"/>
    </row>
    <row r="353" spans="2:15" x14ac:dyDescent="0.25">
      <c r="B353" s="143"/>
      <c r="C353" s="143"/>
      <c r="D353" s="144"/>
      <c r="E353" s="133"/>
      <c r="F353" s="143"/>
      <c r="G353" s="118"/>
      <c r="H353" s="144"/>
      <c r="I353" s="133"/>
      <c r="J353" s="137"/>
      <c r="K353" s="143"/>
      <c r="L353" s="118"/>
      <c r="M353" s="144"/>
      <c r="N353" s="153"/>
      <c r="O353" s="153"/>
    </row>
    <row r="354" spans="2:15" x14ac:dyDescent="0.25">
      <c r="B354" s="143"/>
      <c r="C354" s="143"/>
      <c r="D354" s="144"/>
      <c r="E354" s="133"/>
      <c r="F354" s="143"/>
      <c r="G354" s="118"/>
      <c r="H354" s="144"/>
      <c r="I354" s="133"/>
      <c r="J354" s="137"/>
      <c r="K354" s="143"/>
      <c r="L354" s="118"/>
      <c r="M354" s="144"/>
      <c r="N354" s="153"/>
      <c r="O354" s="153"/>
    </row>
    <row r="355" spans="2:15" x14ac:dyDescent="0.25">
      <c r="B355" s="143"/>
      <c r="C355" s="143"/>
      <c r="D355" s="144"/>
      <c r="E355" s="133"/>
      <c r="F355" s="143"/>
      <c r="G355" s="118"/>
      <c r="H355" s="144"/>
      <c r="I355" s="133"/>
      <c r="J355" s="137"/>
      <c r="K355" s="143"/>
      <c r="L355" s="118"/>
      <c r="M355" s="144"/>
      <c r="N355" s="153"/>
      <c r="O355" s="153"/>
    </row>
    <row r="356" spans="2:15" x14ac:dyDescent="0.25">
      <c r="B356" s="143"/>
      <c r="C356" s="143"/>
      <c r="D356" s="144"/>
      <c r="E356" s="133"/>
      <c r="F356" s="143"/>
      <c r="G356" s="118"/>
      <c r="H356" s="144"/>
      <c r="I356" s="133"/>
      <c r="J356" s="137"/>
      <c r="K356" s="143"/>
      <c r="L356" s="118"/>
      <c r="M356" s="144"/>
      <c r="N356" s="153"/>
      <c r="O356" s="153"/>
    </row>
    <row r="357" spans="2:15" x14ac:dyDescent="0.25">
      <c r="B357" s="143"/>
      <c r="C357" s="143"/>
      <c r="D357" s="144"/>
      <c r="E357" s="133"/>
      <c r="F357" s="143"/>
      <c r="G357" s="118"/>
      <c r="H357" s="144"/>
      <c r="I357" s="133"/>
      <c r="J357" s="137"/>
      <c r="K357" s="143"/>
      <c r="L357" s="118"/>
      <c r="M357" s="144"/>
      <c r="N357" s="153"/>
      <c r="O357" s="153"/>
    </row>
    <row r="358" spans="2:15" x14ac:dyDescent="0.25">
      <c r="B358" s="143"/>
      <c r="C358" s="143"/>
      <c r="D358" s="144"/>
      <c r="E358" s="133"/>
      <c r="F358" s="143"/>
      <c r="G358" s="118"/>
      <c r="H358" s="144"/>
      <c r="I358" s="133"/>
      <c r="J358" s="137"/>
      <c r="K358" s="143"/>
      <c r="L358" s="118"/>
      <c r="M358" s="144"/>
      <c r="N358" s="153"/>
      <c r="O358" s="153"/>
    </row>
    <row r="359" spans="2:15" x14ac:dyDescent="0.25">
      <c r="B359" s="143"/>
      <c r="C359" s="143"/>
      <c r="D359" s="144"/>
      <c r="E359" s="133"/>
      <c r="F359" s="143"/>
      <c r="G359" s="118"/>
      <c r="H359" s="144"/>
      <c r="I359" s="133"/>
      <c r="J359" s="137"/>
      <c r="K359" s="143"/>
      <c r="L359" s="118"/>
      <c r="M359" s="144"/>
      <c r="N359" s="153"/>
      <c r="O359" s="153"/>
    </row>
    <row r="360" spans="2:15" x14ac:dyDescent="0.25">
      <c r="B360" s="143"/>
      <c r="C360" s="143"/>
      <c r="D360" s="144"/>
      <c r="E360" s="133"/>
      <c r="F360" s="143"/>
      <c r="G360" s="118"/>
      <c r="H360" s="144"/>
      <c r="I360" s="133"/>
      <c r="J360" s="137"/>
      <c r="K360" s="143"/>
      <c r="L360" s="118"/>
      <c r="M360" s="144"/>
      <c r="N360" s="153"/>
      <c r="O360" s="153"/>
    </row>
    <row r="361" spans="2:15" x14ac:dyDescent="0.25">
      <c r="B361" s="143"/>
      <c r="C361" s="143"/>
      <c r="D361" s="144"/>
      <c r="E361" s="133"/>
      <c r="F361" s="143"/>
      <c r="G361" s="118"/>
      <c r="H361" s="144"/>
      <c r="I361" s="133"/>
      <c r="J361" s="137"/>
      <c r="K361" s="143"/>
      <c r="L361" s="118"/>
      <c r="M361" s="144"/>
      <c r="N361" s="153"/>
      <c r="O361" s="153"/>
    </row>
    <row r="362" spans="2:15" x14ac:dyDescent="0.25">
      <c r="B362" s="143"/>
      <c r="C362" s="143"/>
      <c r="D362" s="144"/>
      <c r="E362" s="133"/>
      <c r="F362" s="143"/>
      <c r="G362" s="118"/>
      <c r="H362" s="144"/>
      <c r="I362" s="133"/>
      <c r="J362" s="137"/>
      <c r="K362" s="143"/>
      <c r="L362" s="118"/>
      <c r="M362" s="144"/>
      <c r="N362" s="153"/>
      <c r="O362" s="153"/>
    </row>
    <row r="363" spans="2:15" x14ac:dyDescent="0.25">
      <c r="B363" s="143"/>
      <c r="C363" s="143"/>
      <c r="D363" s="144"/>
      <c r="E363" s="133"/>
      <c r="F363" s="143"/>
      <c r="G363" s="118"/>
      <c r="H363" s="144"/>
      <c r="I363" s="133"/>
      <c r="J363" s="137"/>
      <c r="K363" s="143"/>
      <c r="L363" s="118"/>
      <c r="M363" s="144"/>
      <c r="N363" s="153"/>
      <c r="O363" s="153"/>
    </row>
    <row r="364" spans="2:15" x14ac:dyDescent="0.25">
      <c r="B364" s="143"/>
      <c r="C364" s="143"/>
      <c r="D364" s="144"/>
      <c r="E364" s="133"/>
      <c r="F364" s="143"/>
      <c r="G364" s="118"/>
      <c r="H364" s="144"/>
      <c r="I364" s="133"/>
      <c r="J364" s="137"/>
      <c r="K364" s="143"/>
      <c r="L364" s="118"/>
      <c r="M364" s="144"/>
      <c r="N364" s="153"/>
      <c r="O364" s="153"/>
    </row>
    <row r="365" spans="2:15" x14ac:dyDescent="0.25">
      <c r="B365" s="143"/>
      <c r="C365" s="143"/>
      <c r="D365" s="144"/>
      <c r="E365" s="133"/>
      <c r="F365" s="143"/>
      <c r="G365" s="118"/>
      <c r="H365" s="144"/>
      <c r="I365" s="133"/>
      <c r="J365" s="137"/>
      <c r="K365" s="143"/>
      <c r="L365" s="118"/>
      <c r="M365" s="144"/>
      <c r="N365" s="153"/>
      <c r="O365" s="153"/>
    </row>
    <row r="366" spans="2:15" x14ac:dyDescent="0.25">
      <c r="B366" s="143"/>
      <c r="C366" s="143"/>
      <c r="D366" s="144"/>
      <c r="E366" s="133"/>
      <c r="F366" s="143"/>
      <c r="G366" s="118"/>
      <c r="H366" s="144"/>
      <c r="I366" s="133"/>
      <c r="J366" s="137"/>
      <c r="K366" s="143"/>
      <c r="L366" s="118"/>
      <c r="M366" s="144"/>
      <c r="N366" s="153"/>
      <c r="O366" s="153"/>
    </row>
    <row r="367" spans="2:15" x14ac:dyDescent="0.25">
      <c r="B367" s="143"/>
      <c r="C367" s="143"/>
      <c r="D367" s="144"/>
      <c r="E367" s="133"/>
      <c r="F367" s="143"/>
      <c r="G367" s="118"/>
      <c r="H367" s="144"/>
      <c r="I367" s="133"/>
      <c r="J367" s="137"/>
      <c r="K367" s="143"/>
      <c r="L367" s="118"/>
      <c r="M367" s="144"/>
      <c r="N367" s="153"/>
      <c r="O367" s="153"/>
    </row>
    <row r="368" spans="2:15" x14ac:dyDescent="0.25">
      <c r="B368" s="143"/>
      <c r="C368" s="143"/>
      <c r="D368" s="144"/>
      <c r="E368" s="133"/>
      <c r="F368" s="143"/>
      <c r="G368" s="118"/>
      <c r="H368" s="144"/>
      <c r="I368" s="133"/>
      <c r="J368" s="137"/>
      <c r="K368" s="143"/>
      <c r="L368" s="118"/>
      <c r="M368" s="144"/>
      <c r="N368" s="153"/>
      <c r="O368" s="153"/>
    </row>
    <row r="369" spans="2:15" x14ac:dyDescent="0.25">
      <c r="B369" s="143"/>
      <c r="C369" s="143"/>
      <c r="D369" s="144"/>
      <c r="E369" s="133"/>
      <c r="F369" s="143"/>
      <c r="G369" s="118"/>
      <c r="H369" s="144"/>
      <c r="I369" s="133"/>
      <c r="J369" s="137"/>
      <c r="K369" s="143"/>
      <c r="L369" s="118"/>
      <c r="M369" s="144"/>
      <c r="N369" s="153"/>
      <c r="O369" s="153"/>
    </row>
    <row r="370" spans="2:15" x14ac:dyDescent="0.25">
      <c r="B370" s="143"/>
      <c r="C370" s="143"/>
      <c r="D370" s="144"/>
      <c r="E370" s="133"/>
      <c r="F370" s="143"/>
      <c r="G370" s="118"/>
      <c r="H370" s="144"/>
      <c r="I370" s="133"/>
      <c r="J370" s="137"/>
      <c r="K370" s="143"/>
      <c r="L370" s="118"/>
      <c r="M370" s="144"/>
      <c r="N370" s="153"/>
      <c r="O370" s="153"/>
    </row>
    <row r="371" spans="2:15" x14ac:dyDescent="0.25">
      <c r="B371" s="143"/>
      <c r="C371" s="143"/>
      <c r="D371" s="144"/>
      <c r="E371" s="133"/>
      <c r="F371" s="143"/>
      <c r="G371" s="118"/>
      <c r="H371" s="144"/>
      <c r="I371" s="133"/>
      <c r="J371" s="137"/>
      <c r="K371" s="143"/>
      <c r="L371" s="118"/>
      <c r="M371" s="144"/>
      <c r="N371" s="153"/>
      <c r="O371" s="153"/>
    </row>
    <row r="372" spans="2:15" x14ac:dyDescent="0.25">
      <c r="B372" s="143"/>
      <c r="C372" s="143"/>
      <c r="D372" s="144"/>
      <c r="E372" s="133"/>
      <c r="F372" s="143"/>
      <c r="G372" s="118"/>
      <c r="H372" s="144"/>
      <c r="I372" s="133"/>
      <c r="J372" s="137"/>
      <c r="K372" s="143"/>
      <c r="L372" s="118"/>
      <c r="M372" s="144"/>
      <c r="N372" s="153"/>
      <c r="O372" s="153"/>
    </row>
    <row r="373" spans="2:15" x14ac:dyDescent="0.25">
      <c r="B373" s="143"/>
      <c r="C373" s="143"/>
      <c r="D373" s="144"/>
      <c r="E373" s="133"/>
      <c r="F373" s="143"/>
      <c r="G373" s="118"/>
      <c r="H373" s="144"/>
      <c r="I373" s="133"/>
      <c r="J373" s="137"/>
      <c r="K373" s="143"/>
      <c r="L373" s="118"/>
      <c r="M373" s="144"/>
      <c r="N373" s="153"/>
      <c r="O373" s="153"/>
    </row>
    <row r="374" spans="2:15" x14ac:dyDescent="0.25">
      <c r="B374" s="143"/>
      <c r="C374" s="143"/>
      <c r="D374" s="144"/>
      <c r="E374" s="133"/>
      <c r="F374" s="143"/>
      <c r="G374" s="118"/>
      <c r="H374" s="144"/>
      <c r="I374" s="133"/>
      <c r="J374" s="137"/>
      <c r="K374" s="143"/>
      <c r="L374" s="118"/>
      <c r="M374" s="144"/>
      <c r="N374" s="153"/>
      <c r="O374" s="153"/>
    </row>
    <row r="375" spans="2:15" x14ac:dyDescent="0.25">
      <c r="B375" s="143"/>
      <c r="C375" s="143"/>
      <c r="D375" s="144"/>
      <c r="E375" s="133"/>
      <c r="F375" s="143"/>
      <c r="G375" s="118"/>
      <c r="H375" s="144"/>
      <c r="I375" s="133"/>
      <c r="J375" s="137"/>
      <c r="K375" s="143"/>
      <c r="L375" s="118"/>
      <c r="M375" s="144"/>
      <c r="N375" s="153"/>
      <c r="O375" s="153"/>
    </row>
    <row r="376" spans="2:15" x14ac:dyDescent="0.25">
      <c r="B376" s="143"/>
      <c r="C376" s="143"/>
      <c r="D376" s="144"/>
      <c r="E376" s="133"/>
      <c r="F376" s="143"/>
      <c r="G376" s="118"/>
      <c r="H376" s="144"/>
      <c r="I376" s="133"/>
      <c r="J376" s="137"/>
      <c r="K376" s="143"/>
      <c r="L376" s="118"/>
      <c r="M376" s="144"/>
      <c r="N376" s="153"/>
      <c r="O376" s="153"/>
    </row>
    <row r="377" spans="2:15" x14ac:dyDescent="0.25">
      <c r="B377" s="143"/>
      <c r="C377" s="143"/>
      <c r="D377" s="144"/>
      <c r="F377" s="143"/>
      <c r="G377" s="118"/>
      <c r="H377" s="144"/>
      <c r="K377" s="143"/>
      <c r="L377" s="118"/>
      <c r="M377" s="144"/>
      <c r="N377" s="153"/>
      <c r="O377" s="153"/>
    </row>
    <row r="378" spans="2:15" x14ac:dyDescent="0.25">
      <c r="B378" s="143"/>
      <c r="C378" s="143"/>
      <c r="D378" s="144"/>
      <c r="F378" s="143"/>
      <c r="G378" s="118"/>
      <c r="H378" s="144"/>
      <c r="K378" s="143"/>
      <c r="L378" s="118"/>
      <c r="M378" s="144"/>
      <c r="N378" s="153"/>
      <c r="O378" s="153"/>
    </row>
    <row r="379" spans="2:15" x14ac:dyDescent="0.25">
      <c r="B379" s="143"/>
      <c r="C379" s="143"/>
      <c r="D379" s="144"/>
      <c r="F379" s="143"/>
      <c r="G379" s="118"/>
      <c r="H379" s="144"/>
      <c r="K379" s="143"/>
      <c r="L379" s="118"/>
      <c r="M379" s="144"/>
      <c r="N379" s="153"/>
      <c r="O379" s="153"/>
    </row>
    <row r="380" spans="2:15" x14ac:dyDescent="0.25">
      <c r="B380" s="143"/>
      <c r="C380" s="143"/>
      <c r="D380" s="144"/>
      <c r="F380" s="143"/>
      <c r="G380" s="118"/>
      <c r="H380" s="144"/>
      <c r="K380" s="143"/>
      <c r="L380" s="118"/>
      <c r="M380" s="144"/>
      <c r="N380" s="153"/>
      <c r="O380" s="153"/>
    </row>
    <row r="381" spans="2:15" x14ac:dyDescent="0.25">
      <c r="B381" s="143"/>
      <c r="C381" s="143"/>
      <c r="D381" s="144"/>
      <c r="F381" s="143"/>
      <c r="G381" s="118"/>
      <c r="H381" s="144"/>
      <c r="K381" s="143"/>
      <c r="L381" s="118"/>
      <c r="M381" s="144"/>
      <c r="N381" s="153"/>
      <c r="O381" s="153"/>
    </row>
    <row r="382" spans="2:15" x14ac:dyDescent="0.25">
      <c r="B382" s="143"/>
      <c r="C382" s="143"/>
      <c r="D382" s="144"/>
      <c r="F382" s="143"/>
      <c r="G382" s="118"/>
      <c r="H382" s="144"/>
      <c r="K382" s="143"/>
      <c r="L382" s="118"/>
      <c r="M382" s="144"/>
      <c r="N382" s="153"/>
      <c r="O382" s="153"/>
    </row>
    <row r="383" spans="2:15" x14ac:dyDescent="0.25">
      <c r="B383" s="143"/>
      <c r="C383" s="143"/>
      <c r="D383" s="144"/>
      <c r="F383" s="143"/>
      <c r="G383" s="118"/>
      <c r="H383" s="144"/>
      <c r="K383" s="143"/>
      <c r="L383" s="118"/>
      <c r="M383" s="144"/>
      <c r="N383" s="153"/>
      <c r="O383" s="153"/>
    </row>
    <row r="384" spans="2:15" x14ac:dyDescent="0.25">
      <c r="B384" s="143"/>
      <c r="C384" s="143"/>
      <c r="D384" s="144"/>
      <c r="F384" s="143"/>
      <c r="G384" s="118"/>
      <c r="H384" s="144"/>
      <c r="K384" s="143"/>
      <c r="L384" s="118"/>
      <c r="M384" s="144"/>
      <c r="N384" s="153"/>
      <c r="O384" s="153"/>
    </row>
    <row r="385" spans="2:15" x14ac:dyDescent="0.25">
      <c r="B385" s="143"/>
      <c r="C385" s="143"/>
      <c r="D385" s="144"/>
      <c r="F385" s="143"/>
      <c r="G385" s="118"/>
      <c r="H385" s="144"/>
      <c r="K385" s="143"/>
      <c r="L385" s="118"/>
      <c r="M385" s="144"/>
      <c r="N385" s="153"/>
      <c r="O385" s="153"/>
    </row>
    <row r="386" spans="2:15" x14ac:dyDescent="0.25">
      <c r="B386" s="143"/>
      <c r="C386" s="143"/>
      <c r="D386" s="144"/>
      <c r="F386" s="143"/>
      <c r="G386" s="118"/>
      <c r="H386" s="144"/>
      <c r="K386" s="143"/>
      <c r="L386" s="118"/>
      <c r="M386" s="144"/>
      <c r="N386" s="153"/>
      <c r="O386" s="153"/>
    </row>
    <row r="387" spans="2:15" x14ac:dyDescent="0.25">
      <c r="B387" s="143"/>
      <c r="C387" s="143"/>
      <c r="D387" s="144"/>
      <c r="F387" s="143"/>
      <c r="G387" s="118"/>
      <c r="H387" s="144"/>
      <c r="K387" s="143"/>
      <c r="L387" s="118"/>
      <c r="M387" s="144"/>
      <c r="N387" s="153"/>
      <c r="O387" s="153"/>
    </row>
    <row r="388" spans="2:15" x14ac:dyDescent="0.25">
      <c r="B388" s="143"/>
      <c r="C388" s="143"/>
      <c r="D388" s="144"/>
      <c r="F388" s="143"/>
      <c r="G388" s="118"/>
      <c r="H388" s="144"/>
      <c r="K388" s="143"/>
      <c r="L388" s="118"/>
      <c r="M388" s="144"/>
      <c r="N388" s="153"/>
      <c r="O388" s="153"/>
    </row>
    <row r="389" spans="2:15" x14ac:dyDescent="0.25">
      <c r="B389" s="143"/>
      <c r="C389" s="143"/>
      <c r="D389" s="144"/>
      <c r="F389" s="143"/>
      <c r="G389" s="118"/>
      <c r="H389" s="144"/>
      <c r="K389" s="143"/>
      <c r="L389" s="118"/>
      <c r="M389" s="144"/>
      <c r="N389" s="153"/>
      <c r="O389" s="153"/>
    </row>
    <row r="390" spans="2:15" x14ac:dyDescent="0.25">
      <c r="B390" s="143"/>
      <c r="C390" s="143"/>
      <c r="D390" s="144"/>
      <c r="F390" s="143"/>
      <c r="G390" s="118"/>
      <c r="H390" s="144"/>
      <c r="K390" s="143"/>
      <c r="L390" s="118"/>
      <c r="M390" s="144"/>
      <c r="N390" s="153"/>
      <c r="O390" s="153"/>
    </row>
    <row r="391" spans="2:15" x14ac:dyDescent="0.25">
      <c r="B391" s="143"/>
      <c r="C391" s="143"/>
      <c r="D391" s="144"/>
      <c r="F391" s="143"/>
      <c r="G391" s="118"/>
      <c r="H391" s="144"/>
      <c r="K391" s="143"/>
      <c r="L391" s="118"/>
      <c r="M391" s="144"/>
      <c r="N391" s="153"/>
      <c r="O391" s="153"/>
    </row>
    <row r="392" spans="2:15" x14ac:dyDescent="0.25">
      <c r="B392" s="143"/>
      <c r="C392" s="143"/>
      <c r="D392" s="144"/>
      <c r="F392" s="143"/>
      <c r="G392" s="118"/>
      <c r="H392" s="144"/>
      <c r="K392" s="143"/>
      <c r="L392" s="118"/>
      <c r="M392" s="144"/>
      <c r="N392" s="153"/>
      <c r="O392" s="153"/>
    </row>
    <row r="393" spans="2:15" x14ac:dyDescent="0.25">
      <c r="B393" s="143"/>
      <c r="C393" s="143"/>
      <c r="D393" s="144"/>
      <c r="F393" s="143"/>
      <c r="G393" s="118"/>
      <c r="H393" s="144"/>
      <c r="K393" s="143"/>
      <c r="L393" s="118"/>
      <c r="M393" s="144"/>
      <c r="N393" s="153"/>
      <c r="O393" s="153"/>
    </row>
    <row r="394" spans="2:15" x14ac:dyDescent="0.25">
      <c r="B394" s="143"/>
      <c r="C394" s="143"/>
      <c r="D394" s="144"/>
      <c r="F394" s="143"/>
      <c r="G394" s="118"/>
      <c r="H394" s="144"/>
      <c r="K394" s="143"/>
      <c r="L394" s="118"/>
      <c r="M394" s="144"/>
      <c r="N394" s="153"/>
      <c r="O394" s="153"/>
    </row>
    <row r="395" spans="2:15" x14ac:dyDescent="0.25">
      <c r="B395" s="143"/>
      <c r="C395" s="143"/>
      <c r="D395" s="144"/>
      <c r="F395" s="143"/>
      <c r="G395" s="118"/>
      <c r="H395" s="144"/>
      <c r="K395" s="143"/>
      <c r="L395" s="118"/>
      <c r="M395" s="144"/>
      <c r="N395" s="153"/>
      <c r="O395" s="153"/>
    </row>
    <row r="396" spans="2:15" x14ac:dyDescent="0.25">
      <c r="B396" s="143"/>
      <c r="C396" s="143"/>
      <c r="D396" s="144"/>
      <c r="F396" s="143"/>
      <c r="G396" s="118"/>
      <c r="H396" s="144"/>
      <c r="K396" s="143"/>
      <c r="L396" s="118"/>
      <c r="M396" s="144"/>
      <c r="N396" s="153"/>
      <c r="O396" s="153"/>
    </row>
    <row r="397" spans="2:15" x14ac:dyDescent="0.25">
      <c r="B397" s="143"/>
      <c r="C397" s="143"/>
      <c r="D397" s="144"/>
      <c r="F397" s="143"/>
      <c r="G397" s="118"/>
      <c r="H397" s="144"/>
      <c r="K397" s="143"/>
      <c r="L397" s="118"/>
      <c r="M397" s="144"/>
      <c r="N397" s="153"/>
      <c r="O397" s="153"/>
    </row>
    <row r="398" spans="2:15" x14ac:dyDescent="0.25">
      <c r="B398" s="143"/>
      <c r="C398" s="143"/>
      <c r="D398" s="144"/>
      <c r="F398" s="143"/>
      <c r="G398" s="118"/>
      <c r="H398" s="144"/>
      <c r="K398" s="143"/>
      <c r="L398" s="118"/>
      <c r="M398" s="144"/>
      <c r="N398" s="153"/>
      <c r="O398" s="153"/>
    </row>
    <row r="399" spans="2:15" x14ac:dyDescent="0.25">
      <c r="B399" s="143"/>
      <c r="C399" s="143"/>
      <c r="D399" s="144"/>
      <c r="F399" s="143"/>
      <c r="G399" s="118"/>
      <c r="H399" s="144"/>
      <c r="K399" s="143"/>
      <c r="L399" s="118"/>
      <c r="M399" s="144"/>
      <c r="N399" s="153"/>
      <c r="O399" s="153"/>
    </row>
    <row r="400" spans="2:15" x14ac:dyDescent="0.25">
      <c r="B400" s="143"/>
      <c r="C400" s="143"/>
      <c r="D400" s="144"/>
      <c r="F400" s="143"/>
      <c r="G400" s="118"/>
      <c r="H400" s="144"/>
      <c r="K400" s="143"/>
      <c r="L400" s="118"/>
      <c r="M400" s="144"/>
      <c r="N400" s="153"/>
      <c r="O400" s="153"/>
    </row>
    <row r="401" spans="2:15" x14ac:dyDescent="0.25">
      <c r="B401" s="143"/>
      <c r="C401" s="143"/>
      <c r="D401" s="144"/>
      <c r="F401" s="143"/>
      <c r="G401" s="118"/>
      <c r="H401" s="144"/>
      <c r="K401" s="143"/>
      <c r="L401" s="118"/>
      <c r="M401" s="144"/>
      <c r="N401" s="153"/>
      <c r="O401" s="153"/>
    </row>
    <row r="402" spans="2:15" x14ac:dyDescent="0.25">
      <c r="B402" s="143"/>
      <c r="C402" s="143"/>
      <c r="D402" s="144"/>
      <c r="F402" s="143"/>
      <c r="G402" s="118"/>
      <c r="H402" s="144"/>
      <c r="K402" s="143"/>
      <c r="L402" s="118"/>
      <c r="M402" s="144"/>
      <c r="N402" s="153"/>
      <c r="O402" s="153"/>
    </row>
    <row r="403" spans="2:15" x14ac:dyDescent="0.25">
      <c r="B403" s="143"/>
      <c r="C403" s="143"/>
      <c r="D403" s="144"/>
      <c r="F403" s="143"/>
      <c r="G403" s="118"/>
      <c r="H403" s="144"/>
      <c r="K403" s="143"/>
      <c r="L403" s="118"/>
      <c r="M403" s="144"/>
      <c r="N403" s="153"/>
      <c r="O403" s="153"/>
    </row>
    <row r="404" spans="2:15" x14ac:dyDescent="0.25">
      <c r="B404" s="143"/>
      <c r="C404" s="143"/>
      <c r="D404" s="144"/>
      <c r="F404" s="143"/>
      <c r="G404" s="118"/>
      <c r="H404" s="144"/>
      <c r="K404" s="143"/>
      <c r="L404" s="118"/>
      <c r="M404" s="144"/>
      <c r="N404" s="153"/>
      <c r="O404" s="153"/>
    </row>
    <row r="405" spans="2:15" x14ac:dyDescent="0.25">
      <c r="B405" s="143"/>
      <c r="C405" s="143"/>
      <c r="D405" s="144"/>
      <c r="F405" s="143"/>
      <c r="G405" s="118"/>
      <c r="H405" s="144"/>
      <c r="K405" s="143"/>
      <c r="L405" s="118"/>
      <c r="M405" s="144"/>
      <c r="N405" s="153"/>
      <c r="O405" s="153"/>
    </row>
    <row r="406" spans="2:15" x14ac:dyDescent="0.25">
      <c r="B406" s="143"/>
      <c r="C406" s="143"/>
      <c r="D406" s="144"/>
      <c r="F406" s="143"/>
      <c r="G406" s="118"/>
      <c r="H406" s="144"/>
      <c r="K406" s="143"/>
      <c r="L406" s="118"/>
      <c r="M406" s="144"/>
      <c r="N406" s="153"/>
      <c r="O406" s="153"/>
    </row>
    <row r="407" spans="2:15" x14ac:dyDescent="0.25">
      <c r="B407" s="143"/>
      <c r="C407" s="143"/>
      <c r="D407" s="144"/>
      <c r="F407" s="143"/>
      <c r="G407" s="118"/>
      <c r="H407" s="144"/>
      <c r="K407" s="143"/>
      <c r="L407" s="118"/>
      <c r="M407" s="144"/>
      <c r="N407" s="153"/>
      <c r="O407" s="153"/>
    </row>
    <row r="408" spans="2:15" x14ac:dyDescent="0.25">
      <c r="B408" s="143"/>
      <c r="C408" s="143"/>
      <c r="D408" s="144"/>
      <c r="F408" s="143"/>
      <c r="G408" s="118"/>
      <c r="H408" s="144"/>
      <c r="K408" s="143"/>
      <c r="L408" s="118"/>
      <c r="M408" s="144"/>
      <c r="N408" s="153"/>
      <c r="O408" s="153"/>
    </row>
    <row r="409" spans="2:15" x14ac:dyDescent="0.25">
      <c r="B409" s="143"/>
      <c r="C409" s="143"/>
      <c r="D409" s="144"/>
      <c r="F409" s="143"/>
      <c r="G409" s="118"/>
      <c r="H409" s="144"/>
      <c r="K409" s="143"/>
      <c r="L409" s="118"/>
      <c r="M409" s="144"/>
      <c r="N409" s="153"/>
      <c r="O409" s="153"/>
    </row>
    <row r="410" spans="2:15" x14ac:dyDescent="0.25">
      <c r="B410" s="143"/>
      <c r="C410" s="143"/>
      <c r="D410" s="144"/>
      <c r="F410" s="143"/>
      <c r="G410" s="118"/>
      <c r="H410" s="144"/>
      <c r="K410" s="143"/>
      <c r="L410" s="118"/>
      <c r="M410" s="144"/>
      <c r="N410" s="153"/>
      <c r="O410" s="153"/>
    </row>
    <row r="411" spans="2:15" x14ac:dyDescent="0.25">
      <c r="B411" s="143"/>
      <c r="C411" s="143"/>
      <c r="D411" s="144"/>
      <c r="F411" s="143"/>
      <c r="G411" s="118"/>
      <c r="H411" s="144"/>
      <c r="K411" s="143"/>
      <c r="L411" s="118"/>
      <c r="M411" s="144"/>
      <c r="N411" s="153"/>
      <c r="O411" s="153"/>
    </row>
    <row r="412" spans="2:15" x14ac:dyDescent="0.25">
      <c r="B412" s="143"/>
      <c r="C412" s="143"/>
      <c r="D412" s="144"/>
      <c r="F412" s="143"/>
      <c r="G412" s="118"/>
      <c r="H412" s="144"/>
      <c r="K412" s="143"/>
      <c r="L412" s="118"/>
      <c r="M412" s="144"/>
      <c r="N412" s="153"/>
      <c r="O412" s="153"/>
    </row>
    <row r="413" spans="2:15" x14ac:dyDescent="0.25">
      <c r="B413" s="143"/>
      <c r="C413" s="143"/>
      <c r="D413" s="144"/>
      <c r="F413" s="143"/>
      <c r="G413" s="118"/>
      <c r="H413" s="144"/>
      <c r="K413" s="143"/>
      <c r="L413" s="118"/>
      <c r="M413" s="144"/>
      <c r="N413" s="153"/>
      <c r="O413" s="153"/>
    </row>
    <row r="414" spans="2:15" x14ac:dyDescent="0.25">
      <c r="B414" s="143"/>
      <c r="C414" s="143"/>
      <c r="D414" s="144"/>
      <c r="F414" s="143"/>
      <c r="G414" s="118"/>
      <c r="H414" s="144"/>
      <c r="K414" s="143"/>
      <c r="L414" s="118"/>
      <c r="M414" s="144"/>
      <c r="N414" s="153"/>
      <c r="O414" s="153"/>
    </row>
    <row r="415" spans="2:15" x14ac:dyDescent="0.25">
      <c r="B415" s="143"/>
      <c r="C415" s="143"/>
      <c r="D415" s="144"/>
      <c r="F415" s="143"/>
      <c r="G415" s="118"/>
      <c r="H415" s="144"/>
      <c r="K415" s="143"/>
      <c r="L415" s="118"/>
      <c r="M415" s="144"/>
      <c r="N415" s="153"/>
      <c r="O415" s="153"/>
    </row>
    <row r="416" spans="2:15" x14ac:dyDescent="0.25">
      <c r="B416" s="143"/>
      <c r="C416" s="143"/>
      <c r="D416" s="144"/>
      <c r="F416" s="143"/>
      <c r="G416" s="118"/>
      <c r="H416" s="144"/>
      <c r="K416" s="143"/>
      <c r="L416" s="118"/>
      <c r="M416" s="144"/>
      <c r="N416" s="153"/>
      <c r="O416" s="153"/>
    </row>
    <row r="417" spans="2:15" x14ac:dyDescent="0.25">
      <c r="B417" s="143"/>
      <c r="C417" s="143"/>
      <c r="D417" s="144"/>
      <c r="F417" s="143"/>
      <c r="G417" s="118"/>
      <c r="H417" s="144"/>
      <c r="K417" s="143"/>
      <c r="L417" s="118"/>
      <c r="M417" s="144"/>
      <c r="N417" s="153"/>
      <c r="O417" s="153"/>
    </row>
    <row r="418" spans="2:15" x14ac:dyDescent="0.25">
      <c r="B418" s="143"/>
      <c r="C418" s="143"/>
      <c r="D418" s="144"/>
      <c r="F418" s="143"/>
      <c r="G418" s="118"/>
      <c r="H418" s="144"/>
      <c r="K418" s="143"/>
      <c r="L418" s="118"/>
      <c r="M418" s="144"/>
      <c r="N418" s="153"/>
      <c r="O418" s="153"/>
    </row>
    <row r="419" spans="2:15" x14ac:dyDescent="0.25">
      <c r="B419" s="143"/>
      <c r="C419" s="143"/>
      <c r="D419" s="144"/>
      <c r="F419" s="143"/>
      <c r="G419" s="118"/>
      <c r="H419" s="144"/>
      <c r="K419" s="143"/>
      <c r="L419" s="118"/>
      <c r="M419" s="144"/>
      <c r="N419" s="153"/>
      <c r="O419" s="153"/>
    </row>
    <row r="420" spans="2:15" x14ac:dyDescent="0.25">
      <c r="B420" s="143"/>
      <c r="C420" s="143"/>
      <c r="D420" s="144"/>
      <c r="F420" s="143"/>
      <c r="G420" s="118"/>
      <c r="H420" s="144"/>
      <c r="K420" s="143"/>
      <c r="L420" s="118"/>
      <c r="M420" s="144"/>
      <c r="N420" s="153"/>
      <c r="O420" s="153"/>
    </row>
    <row r="421" spans="2:15" x14ac:dyDescent="0.25">
      <c r="B421" s="143"/>
      <c r="C421" s="143"/>
      <c r="D421" s="144"/>
      <c r="F421" s="143"/>
      <c r="G421" s="118"/>
      <c r="H421" s="144"/>
      <c r="K421" s="143"/>
      <c r="L421" s="118"/>
      <c r="M421" s="144"/>
      <c r="N421" s="153"/>
      <c r="O421" s="153"/>
    </row>
  </sheetData>
  <sheetProtection algorithmName="SHA-512" hashValue="b5FWlkrbTYVMvOtI8He6S5QS4h0RXa4TxWv0aLwv5Em44L8Wjrv8sLO1pSlxWB/vKaqSCozOL30xYJTUJ7JuJg==" saltValue="HR/3cb+Y+qMBRIjhT58h9g==" spinCount="100000" sheet="1" objects="1" scenarios="1"/>
  <mergeCells count="1">
    <mergeCell ref="C6:E6"/>
  </mergeCells>
  <conditionalFormatting sqref="N29">
    <cfRule type="notContainsBlanks" dxfId="3" priority="2">
      <formula>LEN(TRIM(N29))&gt;0</formula>
    </cfRule>
    <cfRule type="colorScale" priority="4">
      <colorScale>
        <cfvo type="min"/>
        <cfvo type="max"/>
        <color rgb="FFFF7128"/>
        <color rgb="FFFFEF9C"/>
      </colorScale>
    </cfRule>
  </conditionalFormatting>
  <dataValidations count="2">
    <dataValidation type="list" allowBlank="1" showInputMessage="1" showErrorMessage="1" sqref="C28:C1048576" xr:uid="{D8B96823-79D3-744F-8184-464C3A252F30}">
      <formula1>"Largecap, Midcap, Smallcap"</formula1>
    </dataValidation>
    <dataValidation type="list" allowBlank="1" showInputMessage="1" showErrorMessage="1" sqref="G28:G1048576 L28:L1048576" xr:uid="{5C669FEC-78FB-4663-988E-585D1D64E9FE}">
      <formula1>"Largecap, MidCap, SmallCap, Flexi/Multi cap"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A0257-66CC-3946-BB5F-B10CCBE76A5C}">
  <dimension ref="B5:E15"/>
  <sheetViews>
    <sheetView showGridLines="0" zoomScale="120" zoomScaleNormal="120" workbookViewId="0">
      <selection activeCell="D19" sqref="D19"/>
    </sheetView>
  </sheetViews>
  <sheetFormatPr defaultColWidth="11.25" defaultRowHeight="15.75" x14ac:dyDescent="0.25"/>
  <cols>
    <col min="1" max="1" width="6.25" style="36" customWidth="1"/>
    <col min="2" max="2" width="20.75" style="36" customWidth="1"/>
    <col min="3" max="3" width="13.25" style="36" customWidth="1"/>
    <col min="4" max="16384" width="11.25" style="36"/>
  </cols>
  <sheetData>
    <row r="5" spans="2:5" ht="10.15" customHeight="1" x14ac:dyDescent="0.25">
      <c r="B5" s="178" t="s">
        <v>103</v>
      </c>
      <c r="C5" s="179"/>
      <c r="D5" s="101"/>
    </row>
    <row r="6" spans="2:5" ht="10.15" customHeight="1" x14ac:dyDescent="0.25">
      <c r="B6" s="179"/>
      <c r="C6" s="179"/>
      <c r="D6" s="101"/>
    </row>
    <row r="7" spans="2:5" x14ac:dyDescent="0.25">
      <c r="B7" s="179"/>
      <c r="C7" s="179"/>
      <c r="D7" s="101"/>
    </row>
    <row r="8" spans="2:5" ht="18.75" x14ac:dyDescent="0.3">
      <c r="B8" s="90"/>
      <c r="C8" s="95" t="s">
        <v>92</v>
      </c>
      <c r="E8" s="92"/>
    </row>
    <row r="9" spans="2:5" ht="18.75" x14ac:dyDescent="0.3">
      <c r="B9" s="93"/>
      <c r="C9" s="181" t="s">
        <v>93</v>
      </c>
      <c r="D9" s="181"/>
      <c r="E9" s="181"/>
    </row>
    <row r="11" spans="2:5" x14ac:dyDescent="0.25">
      <c r="B11" s="24" t="s">
        <v>9</v>
      </c>
      <c r="C11" s="24" t="s">
        <v>10</v>
      </c>
    </row>
    <row r="12" spans="2:5" x14ac:dyDescent="0.25">
      <c r="B12" s="96" t="s">
        <v>94</v>
      </c>
      <c r="C12" s="119"/>
    </row>
    <row r="13" spans="2:5" x14ac:dyDescent="0.25">
      <c r="B13" s="96" t="s">
        <v>95</v>
      </c>
      <c r="C13" s="97"/>
    </row>
    <row r="14" spans="2:5" x14ac:dyDescent="0.25">
      <c r="B14" s="96" t="s">
        <v>96</v>
      </c>
      <c r="C14" s="97"/>
    </row>
    <row r="15" spans="2:5" x14ac:dyDescent="0.25">
      <c r="B15" s="99" t="s">
        <v>25</v>
      </c>
      <c r="C15" s="120">
        <f>SUM(C12:C14)</f>
        <v>0</v>
      </c>
      <c r="D15" s="98"/>
    </row>
  </sheetData>
  <sheetProtection algorithmName="SHA-512" hashValue="Hf9hOYW+AIgrMAI/FUPrMC4gB5/jyS0mm0sGqr/jRhMzwXOMJ88mNG7zcdqkyzBJR0Oyaf8Tdn9HstmFlSOyiw==" saltValue="byJLRlKRCQrNYAZbutVJSQ==" spinCount="100000" sheet="1" objects="1" scenarios="1"/>
  <mergeCells count="2">
    <mergeCell ref="C9:E9"/>
    <mergeCell ref="B5:C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AABE-54C4-7F44-B68D-0ED9D5E6E4AA}">
  <dimension ref="B1:V112"/>
  <sheetViews>
    <sheetView showGridLines="0" zoomScale="106" zoomScaleNormal="120" workbookViewId="0">
      <selection activeCell="O21" sqref="O21"/>
    </sheetView>
  </sheetViews>
  <sheetFormatPr defaultColWidth="11.25" defaultRowHeight="15.75" x14ac:dyDescent="0.25"/>
  <cols>
    <col min="1" max="1" width="7.75" style="19" customWidth="1"/>
    <col min="2" max="2" width="21.75" style="116" customWidth="1"/>
    <col min="3" max="3" width="19" style="117" customWidth="1"/>
    <col min="4" max="4" width="4.75" style="19" customWidth="1"/>
    <col min="5" max="5" width="24.25" style="116" bestFit="1" customWidth="1"/>
    <col min="6" max="6" width="17" style="117" customWidth="1"/>
    <col min="7" max="7" width="4.25" style="19" customWidth="1"/>
    <col min="8" max="8" width="25.75" style="116" bestFit="1" customWidth="1"/>
    <col min="9" max="9" width="19.25" style="117" customWidth="1"/>
    <col min="10" max="10" width="3.75" style="19" customWidth="1"/>
    <col min="11" max="11" width="25.75" style="116" bestFit="1" customWidth="1"/>
    <col min="12" max="12" width="18.5" style="117" customWidth="1"/>
    <col min="13" max="14" width="11.25" style="19"/>
    <col min="15" max="15" width="34.75" style="116" bestFit="1" customWidth="1"/>
    <col min="16" max="16" width="34.75" style="143" bestFit="1" customWidth="1"/>
    <col min="17" max="17" width="15.625" style="117" bestFit="1" customWidth="1"/>
    <col min="18" max="18" width="24.875" style="19" bestFit="1" customWidth="1"/>
    <col min="19" max="21" width="11.25" style="19"/>
    <col min="22" max="22" width="11.25" style="160"/>
    <col min="23" max="16384" width="11.25" style="19"/>
  </cols>
  <sheetData>
    <row r="1" spans="2:22" x14ac:dyDescent="0.25">
      <c r="B1" s="133"/>
      <c r="C1" s="134"/>
      <c r="E1" s="133"/>
      <c r="F1" s="134"/>
      <c r="H1" s="133"/>
      <c r="I1" s="134"/>
      <c r="K1" s="133"/>
      <c r="L1" s="134"/>
      <c r="O1" s="19"/>
      <c r="P1" s="19"/>
      <c r="Q1" s="19"/>
    </row>
    <row r="2" spans="2:22" x14ac:dyDescent="0.25">
      <c r="B2" s="133"/>
      <c r="C2" s="134"/>
      <c r="E2" s="133"/>
      <c r="F2" s="134"/>
      <c r="H2" s="133"/>
      <c r="I2" s="134"/>
      <c r="K2" s="133"/>
      <c r="L2" s="134"/>
      <c r="O2" s="19"/>
      <c r="P2" s="182" t="s">
        <v>123</v>
      </c>
      <c r="Q2" s="182"/>
    </row>
    <row r="3" spans="2:22" x14ac:dyDescent="0.25">
      <c r="B3" s="133"/>
      <c r="C3" s="134"/>
      <c r="E3" s="133"/>
      <c r="F3" s="134"/>
      <c r="H3" s="133"/>
      <c r="I3" s="134"/>
      <c r="K3" s="133"/>
      <c r="L3" s="134"/>
      <c r="O3" s="133"/>
      <c r="P3" s="133"/>
      <c r="Q3" s="134"/>
    </row>
    <row r="4" spans="2:22" ht="18.75" x14ac:dyDescent="0.3">
      <c r="B4" s="90"/>
      <c r="C4" s="95" t="s">
        <v>92</v>
      </c>
      <c r="D4" s="123"/>
      <c r="E4" s="123"/>
      <c r="F4" s="19"/>
      <c r="H4" s="19"/>
      <c r="I4" s="122"/>
      <c r="K4" s="19"/>
      <c r="L4" s="19"/>
      <c r="O4" s="133"/>
      <c r="P4" s="133"/>
      <c r="Q4" s="134"/>
    </row>
    <row r="5" spans="2:22" ht="18.75" x14ac:dyDescent="0.3">
      <c r="B5" s="93"/>
      <c r="C5" s="181" t="s">
        <v>93</v>
      </c>
      <c r="D5" s="181"/>
      <c r="E5" s="181"/>
      <c r="F5" s="19"/>
      <c r="H5" s="178" t="s">
        <v>103</v>
      </c>
      <c r="I5" s="179"/>
      <c r="K5" s="19"/>
      <c r="L5" s="19"/>
      <c r="O5" s="133"/>
      <c r="P5" s="133"/>
      <c r="Q5" s="134"/>
    </row>
    <row r="6" spans="2:22" x14ac:dyDescent="0.25">
      <c r="B6" s="19"/>
      <c r="C6" s="121"/>
      <c r="E6" s="19"/>
      <c r="F6" s="19"/>
      <c r="H6" s="179"/>
      <c r="I6" s="179"/>
      <c r="K6" s="19"/>
      <c r="L6" s="19"/>
      <c r="O6" s="133"/>
      <c r="P6" s="133"/>
      <c r="Q6" s="134"/>
    </row>
    <row r="7" spans="2:22" x14ac:dyDescent="0.25">
      <c r="B7" s="19"/>
      <c r="C7" s="19"/>
      <c r="E7" s="19"/>
      <c r="F7" s="19"/>
      <c r="H7" s="179"/>
      <c r="I7" s="179"/>
      <c r="K7" s="19"/>
      <c r="L7" s="19"/>
      <c r="O7" s="133"/>
      <c r="P7" s="133"/>
      <c r="Q7" s="134"/>
    </row>
    <row r="8" spans="2:22" x14ac:dyDescent="0.25">
      <c r="B8" s="19"/>
      <c r="C8" s="19"/>
      <c r="E8" s="19"/>
      <c r="F8" s="19"/>
      <c r="H8" s="158"/>
      <c r="I8" s="158"/>
      <c r="K8" s="19"/>
      <c r="L8" s="19"/>
      <c r="O8" s="133"/>
      <c r="P8" s="133"/>
      <c r="Q8" s="134"/>
    </row>
    <row r="9" spans="2:22" x14ac:dyDescent="0.25">
      <c r="B9" s="19"/>
      <c r="C9" s="19"/>
      <c r="E9" s="19"/>
      <c r="F9" s="19"/>
      <c r="H9" s="158"/>
      <c r="I9" s="158"/>
      <c r="K9" s="19"/>
      <c r="L9" s="19"/>
      <c r="O9" s="133"/>
      <c r="P9" s="133"/>
      <c r="Q9" s="134"/>
    </row>
    <row r="10" spans="2:22" x14ac:dyDescent="0.25">
      <c r="B10" s="19"/>
      <c r="C10" s="19"/>
      <c r="E10" s="19"/>
      <c r="F10" s="19"/>
      <c r="H10" s="158"/>
      <c r="I10" s="158"/>
      <c r="K10" s="19"/>
      <c r="L10" s="19"/>
      <c r="O10" s="133"/>
      <c r="P10" s="133"/>
      <c r="Q10" s="134"/>
    </row>
    <row r="11" spans="2:22" s="36" customFormat="1" x14ac:dyDescent="0.25">
      <c r="B11" s="125"/>
      <c r="C11" s="124"/>
      <c r="D11" s="124"/>
      <c r="E11" s="125"/>
      <c r="F11" s="124"/>
      <c r="G11" s="124"/>
      <c r="H11" s="125"/>
      <c r="I11" s="124"/>
      <c r="J11" s="124"/>
      <c r="K11" s="125"/>
      <c r="L11" s="124"/>
      <c r="O11" s="24" t="s">
        <v>102</v>
      </c>
      <c r="P11" s="23" t="s">
        <v>84</v>
      </c>
      <c r="Q11" s="24" t="s">
        <v>85</v>
      </c>
      <c r="R11" s="24" t="s">
        <v>122</v>
      </c>
      <c r="V11" s="161"/>
    </row>
    <row r="12" spans="2:22" s="36" customFormat="1" x14ac:dyDescent="0.25">
      <c r="B12" s="125"/>
      <c r="C12" s="124"/>
      <c r="D12" s="124"/>
      <c r="E12" s="125"/>
      <c r="F12" s="124"/>
      <c r="G12" s="124"/>
      <c r="H12" s="125"/>
      <c r="I12" s="124"/>
      <c r="J12" s="124"/>
      <c r="K12" s="125"/>
      <c r="L12" s="124"/>
      <c r="O12" s="96" t="s">
        <v>120</v>
      </c>
      <c r="P12" s="150">
        <f>SUMIFS($Q$18:$Q$1051,$P$18:$P$1051,O12)</f>
        <v>26000</v>
      </c>
      <c r="Q12" s="109">
        <f>P12/$P$15</f>
        <v>0.91228070175438591</v>
      </c>
      <c r="R12" s="109">
        <f>IFERROR(SUMIFS('Financial Goals'!$O$11:$O$25,'Financial Goals'!$E$11:$E$25,"Short Term")/R18,0)</f>
        <v>0.970873786407767</v>
      </c>
      <c r="V12" s="161"/>
    </row>
    <row r="13" spans="2:22" s="36" customFormat="1" x14ac:dyDescent="0.25">
      <c r="B13" s="125"/>
      <c r="C13" s="124"/>
      <c r="D13" s="124"/>
      <c r="E13" s="125"/>
      <c r="F13" s="124"/>
      <c r="G13" s="124"/>
      <c r="H13" s="125"/>
      <c r="I13" s="124"/>
      <c r="J13" s="124"/>
      <c r="K13" s="125"/>
      <c r="L13" s="124"/>
      <c r="O13" s="96" t="s">
        <v>118</v>
      </c>
      <c r="P13" s="150">
        <f t="shared" ref="P13:P14" si="0">SUMIFS($Q$18:$Q$1051,$P$18:$P$1051,O13)</f>
        <v>0</v>
      </c>
      <c r="Q13" s="109">
        <f t="shared" ref="Q13:Q14" si="1">P13/$P$15</f>
        <v>0</v>
      </c>
      <c r="R13" s="109">
        <f>IFERROR(SUMIFS('Financial Goals'!$O$11:$O$25,'Financial Goals'!$E$11:$E$25,"Medium Term")/R18,0)</f>
        <v>0</v>
      </c>
      <c r="S13"/>
      <c r="V13" s="161"/>
    </row>
    <row r="14" spans="2:22" s="36" customFormat="1" x14ac:dyDescent="0.25">
      <c r="O14" s="96" t="s">
        <v>119</v>
      </c>
      <c r="P14" s="150">
        <f t="shared" si="0"/>
        <v>2500</v>
      </c>
      <c r="Q14" s="109">
        <f t="shared" si="1"/>
        <v>8.771929824561403E-2</v>
      </c>
      <c r="R14" s="109">
        <f>IFERROR(SUMIFS('Financial Goals'!$O$11:$O$25,'Financial Goals'!$E$11:$E$25,"Long Term")/R18,0)</f>
        <v>2.9126213592233011E-2</v>
      </c>
      <c r="S14"/>
      <c r="V14" s="161"/>
    </row>
    <row r="15" spans="2:22" s="36" customFormat="1" x14ac:dyDescent="0.25">
      <c r="B15" s="125" t="s">
        <v>37</v>
      </c>
      <c r="C15" s="126">
        <f>SUM(C18:C1048576)</f>
        <v>225356</v>
      </c>
      <c r="D15" s="124"/>
      <c r="E15" s="125" t="s">
        <v>88</v>
      </c>
      <c r="F15" s="126">
        <f>SUM(F18:F1048576)</f>
        <v>0</v>
      </c>
      <c r="G15" s="124"/>
      <c r="H15" s="125" t="s">
        <v>31</v>
      </c>
      <c r="I15" s="126">
        <f>SUM(I18:I1048576)</f>
        <v>32779</v>
      </c>
      <c r="J15" s="124"/>
      <c r="K15" s="125" t="s">
        <v>91</v>
      </c>
      <c r="L15" s="126">
        <f>SUM(L18:L1048576)</f>
        <v>255000</v>
      </c>
      <c r="O15" s="113" t="s">
        <v>25</v>
      </c>
      <c r="P15" s="151">
        <f>SUM(P12:P14)</f>
        <v>28500</v>
      </c>
      <c r="Q15" s="114">
        <f>SUM(Q12:Q14)</f>
        <v>1</v>
      </c>
      <c r="R15" s="114">
        <f>SUM(R12:R14)</f>
        <v>1</v>
      </c>
      <c r="V15" s="161"/>
    </row>
    <row r="16" spans="2:22" x14ac:dyDescent="0.25">
      <c r="B16" s="115"/>
      <c r="C16" s="127"/>
      <c r="E16" s="128"/>
      <c r="F16" s="19"/>
      <c r="H16" s="128"/>
      <c r="I16" s="19"/>
      <c r="K16" s="128"/>
      <c r="L16" s="19"/>
      <c r="O16" s="19"/>
      <c r="P16" s="19"/>
      <c r="Q16" s="19"/>
    </row>
    <row r="17" spans="2:22" x14ac:dyDescent="0.25">
      <c r="B17" s="24" t="s">
        <v>9</v>
      </c>
      <c r="C17" s="24" t="s">
        <v>81</v>
      </c>
      <c r="E17" s="24" t="s">
        <v>89</v>
      </c>
      <c r="F17" s="24" t="s">
        <v>81</v>
      </c>
      <c r="H17" s="24" t="s">
        <v>90</v>
      </c>
      <c r="I17" s="24" t="s">
        <v>81</v>
      </c>
      <c r="K17" s="24" t="s">
        <v>90</v>
      </c>
      <c r="L17" s="24" t="s">
        <v>81</v>
      </c>
      <c r="O17" s="142" t="s">
        <v>86</v>
      </c>
      <c r="P17" s="142" t="s">
        <v>117</v>
      </c>
      <c r="Q17" s="24" t="s">
        <v>82</v>
      </c>
      <c r="R17" s="154" t="s">
        <v>62</v>
      </c>
    </row>
    <row r="18" spans="2:22" x14ac:dyDescent="0.25">
      <c r="B18" s="116" t="s">
        <v>124</v>
      </c>
      <c r="C18" s="117">
        <v>50000</v>
      </c>
      <c r="D18" s="133"/>
      <c r="E18" s="168"/>
      <c r="F18" s="169"/>
      <c r="G18" s="133"/>
      <c r="H18" s="116" t="s">
        <v>151</v>
      </c>
      <c r="I18" s="117">
        <v>32779</v>
      </c>
      <c r="J18" s="133"/>
      <c r="K18" s="116" t="s">
        <v>134</v>
      </c>
      <c r="L18" s="117">
        <v>5000</v>
      </c>
      <c r="M18" s="133"/>
      <c r="N18" s="133"/>
      <c r="O18" s="116" t="s">
        <v>149</v>
      </c>
      <c r="P18" s="143" t="s">
        <v>120</v>
      </c>
      <c r="Q18" s="117">
        <v>20000</v>
      </c>
      <c r="R18" s="145">
        <f>'Financial Goals'!O27</f>
        <v>38625</v>
      </c>
      <c r="V18" s="160" t="s">
        <v>120</v>
      </c>
    </row>
    <row r="19" spans="2:22" x14ac:dyDescent="0.25">
      <c r="B19" s="116" t="s">
        <v>129</v>
      </c>
      <c r="C19" s="117">
        <v>134371</v>
      </c>
      <c r="D19" s="133"/>
      <c r="E19" s="168"/>
      <c r="F19" s="169"/>
      <c r="G19" s="133"/>
      <c r="J19" s="133"/>
      <c r="K19" s="116" t="s">
        <v>135</v>
      </c>
      <c r="L19" s="117">
        <v>250000</v>
      </c>
      <c r="M19" s="133"/>
      <c r="N19" s="133"/>
      <c r="R19" s="146" t="str">
        <f>IF(P15&gt;R18,"You are over investing into Debt","")</f>
        <v/>
      </c>
      <c r="V19" s="160" t="s">
        <v>118</v>
      </c>
    </row>
    <row r="20" spans="2:22" x14ac:dyDescent="0.25">
      <c r="B20" s="116" t="s">
        <v>142</v>
      </c>
      <c r="C20" s="117">
        <v>15000</v>
      </c>
      <c r="D20" s="133"/>
      <c r="E20" s="168"/>
      <c r="F20" s="169"/>
      <c r="G20" s="133"/>
      <c r="J20" s="133"/>
      <c r="M20" s="133"/>
      <c r="N20" s="133"/>
      <c r="O20" s="116" t="s">
        <v>121</v>
      </c>
      <c r="P20" s="143" t="s">
        <v>119</v>
      </c>
      <c r="Q20" s="117">
        <v>2500</v>
      </c>
      <c r="V20" s="160" t="s">
        <v>119</v>
      </c>
    </row>
    <row r="21" spans="2:22" x14ac:dyDescent="0.25">
      <c r="B21" s="116" t="s">
        <v>143</v>
      </c>
      <c r="C21" s="117">
        <v>1597</v>
      </c>
      <c r="D21" s="133"/>
      <c r="E21" s="168"/>
      <c r="F21" s="169"/>
      <c r="G21" s="133"/>
      <c r="J21" s="133"/>
      <c r="M21" s="133"/>
      <c r="N21" s="133"/>
      <c r="O21" s="116" t="s">
        <v>150</v>
      </c>
      <c r="P21" s="143" t="s">
        <v>120</v>
      </c>
      <c r="Q21" s="117">
        <v>6000</v>
      </c>
    </row>
    <row r="22" spans="2:22" x14ac:dyDescent="0.25">
      <c r="B22" s="116" t="s">
        <v>130</v>
      </c>
      <c r="C22" s="117">
        <v>1339</v>
      </c>
      <c r="D22" s="133"/>
      <c r="E22" s="168"/>
      <c r="F22" s="169"/>
      <c r="G22" s="133"/>
      <c r="J22" s="133"/>
      <c r="M22" s="133"/>
      <c r="N22" s="133"/>
    </row>
    <row r="23" spans="2:22" x14ac:dyDescent="0.25">
      <c r="B23" s="116" t="s">
        <v>131</v>
      </c>
      <c r="C23" s="117">
        <v>12587</v>
      </c>
      <c r="D23" s="133"/>
      <c r="E23" s="168"/>
      <c r="F23" s="169"/>
      <c r="G23" s="133"/>
      <c r="J23" s="133"/>
      <c r="M23" s="133"/>
      <c r="N23" s="133"/>
    </row>
    <row r="24" spans="2:22" x14ac:dyDescent="0.25">
      <c r="B24" s="116" t="s">
        <v>132</v>
      </c>
      <c r="C24" s="117">
        <v>5040</v>
      </c>
      <c r="D24" s="133"/>
      <c r="E24" s="168"/>
      <c r="F24" s="169"/>
      <c r="G24" s="133"/>
      <c r="J24" s="133"/>
      <c r="M24" s="133"/>
      <c r="N24" s="133"/>
    </row>
    <row r="25" spans="2:22" x14ac:dyDescent="0.25">
      <c r="B25" s="116" t="s">
        <v>133</v>
      </c>
      <c r="C25" s="117">
        <v>1688</v>
      </c>
      <c r="D25" s="133"/>
      <c r="E25" s="168"/>
      <c r="F25" s="169"/>
      <c r="G25" s="133"/>
      <c r="J25" s="133"/>
      <c r="M25" s="133"/>
      <c r="N25" s="133"/>
    </row>
    <row r="26" spans="2:22" x14ac:dyDescent="0.25">
      <c r="B26" s="116" t="s">
        <v>140</v>
      </c>
      <c r="C26" s="117">
        <v>2</v>
      </c>
      <c r="D26" s="133"/>
      <c r="E26" s="168"/>
      <c r="F26" s="169"/>
      <c r="G26" s="133"/>
      <c r="J26" s="133"/>
      <c r="M26" s="133"/>
      <c r="N26" s="133"/>
    </row>
    <row r="27" spans="2:22" x14ac:dyDescent="0.25">
      <c r="B27" s="116" t="s">
        <v>141</v>
      </c>
      <c r="C27" s="117">
        <v>3732</v>
      </c>
      <c r="D27" s="133"/>
      <c r="G27" s="133"/>
      <c r="J27" s="133"/>
      <c r="M27" s="133"/>
      <c r="N27" s="133"/>
    </row>
    <row r="28" spans="2:22" x14ac:dyDescent="0.25">
      <c r="D28" s="133"/>
      <c r="G28" s="133"/>
      <c r="J28" s="133"/>
      <c r="M28" s="133"/>
      <c r="N28" s="133"/>
    </row>
    <row r="29" spans="2:22" x14ac:dyDescent="0.25">
      <c r="D29" s="133"/>
      <c r="G29" s="133"/>
      <c r="J29" s="133"/>
      <c r="M29" s="133"/>
      <c r="N29" s="133"/>
    </row>
    <row r="30" spans="2:22" x14ac:dyDescent="0.25">
      <c r="D30" s="133"/>
      <c r="G30" s="133"/>
      <c r="J30" s="133"/>
      <c r="M30" s="133"/>
      <c r="N30" s="133"/>
    </row>
    <row r="31" spans="2:22" x14ac:dyDescent="0.25">
      <c r="D31" s="133"/>
      <c r="G31" s="133"/>
      <c r="J31" s="133"/>
      <c r="M31" s="133"/>
      <c r="N31" s="133"/>
    </row>
    <row r="32" spans="2:22" x14ac:dyDescent="0.25">
      <c r="D32" s="133"/>
      <c r="G32" s="133"/>
      <c r="J32" s="133"/>
      <c r="M32" s="133"/>
      <c r="N32" s="133"/>
    </row>
    <row r="33" spans="4:14" x14ac:dyDescent="0.25">
      <c r="D33" s="133"/>
      <c r="G33" s="133"/>
      <c r="J33" s="133"/>
      <c r="M33" s="133"/>
      <c r="N33" s="133"/>
    </row>
    <row r="34" spans="4:14" x14ac:dyDescent="0.25">
      <c r="D34" s="133"/>
      <c r="G34" s="133"/>
      <c r="J34" s="133"/>
      <c r="M34" s="133"/>
      <c r="N34" s="133"/>
    </row>
    <row r="35" spans="4:14" x14ac:dyDescent="0.25">
      <c r="D35" s="133"/>
      <c r="G35" s="133"/>
      <c r="J35" s="133"/>
      <c r="M35" s="133"/>
      <c r="N35" s="133"/>
    </row>
    <row r="36" spans="4:14" x14ac:dyDescent="0.25">
      <c r="D36" s="133"/>
      <c r="G36" s="133"/>
      <c r="J36" s="133"/>
      <c r="M36" s="133"/>
      <c r="N36" s="133"/>
    </row>
    <row r="37" spans="4:14" x14ac:dyDescent="0.25">
      <c r="D37" s="133"/>
      <c r="G37" s="133"/>
      <c r="J37" s="133"/>
      <c r="M37" s="133"/>
      <c r="N37" s="133"/>
    </row>
    <row r="38" spans="4:14" x14ac:dyDescent="0.25">
      <c r="D38" s="133"/>
      <c r="G38" s="133"/>
      <c r="J38" s="133"/>
      <c r="M38" s="133"/>
      <c r="N38" s="133"/>
    </row>
    <row r="39" spans="4:14" x14ac:dyDescent="0.25">
      <c r="D39" s="133"/>
      <c r="G39" s="133"/>
      <c r="J39" s="133"/>
      <c r="M39" s="133"/>
      <c r="N39" s="133"/>
    </row>
    <row r="40" spans="4:14" x14ac:dyDescent="0.25">
      <c r="D40" s="133"/>
      <c r="G40" s="133"/>
      <c r="J40" s="133"/>
      <c r="M40" s="133"/>
      <c r="N40" s="133"/>
    </row>
    <row r="41" spans="4:14" x14ac:dyDescent="0.25">
      <c r="D41" s="133"/>
      <c r="G41" s="133"/>
      <c r="J41" s="133"/>
      <c r="M41" s="133"/>
      <c r="N41" s="133"/>
    </row>
    <row r="42" spans="4:14" x14ac:dyDescent="0.25">
      <c r="D42" s="133"/>
      <c r="G42" s="133"/>
      <c r="J42" s="133"/>
      <c r="M42" s="133"/>
      <c r="N42" s="133"/>
    </row>
    <row r="43" spans="4:14" x14ac:dyDescent="0.25">
      <c r="D43" s="133"/>
      <c r="G43" s="133"/>
      <c r="J43" s="133"/>
      <c r="M43" s="133"/>
      <c r="N43" s="133"/>
    </row>
    <row r="44" spans="4:14" x14ac:dyDescent="0.25">
      <c r="D44" s="133"/>
      <c r="G44" s="133"/>
      <c r="J44" s="133"/>
      <c r="M44" s="133"/>
      <c r="N44" s="133"/>
    </row>
    <row r="45" spans="4:14" x14ac:dyDescent="0.25">
      <c r="D45" s="133"/>
      <c r="G45" s="133"/>
      <c r="J45" s="133"/>
      <c r="M45" s="133"/>
      <c r="N45" s="133"/>
    </row>
    <row r="46" spans="4:14" x14ac:dyDescent="0.25">
      <c r="D46" s="133"/>
      <c r="G46" s="133"/>
      <c r="J46" s="133"/>
      <c r="M46" s="133"/>
      <c r="N46" s="133"/>
    </row>
    <row r="47" spans="4:14" x14ac:dyDescent="0.25">
      <c r="D47" s="133"/>
      <c r="G47" s="133"/>
      <c r="J47" s="133"/>
      <c r="M47" s="133"/>
      <c r="N47" s="133"/>
    </row>
    <row r="48" spans="4:14" x14ac:dyDescent="0.25">
      <c r="D48" s="133"/>
      <c r="G48" s="133"/>
      <c r="J48" s="133"/>
      <c r="M48" s="133"/>
      <c r="N48" s="133"/>
    </row>
    <row r="49" spans="4:14" x14ac:dyDescent="0.25">
      <c r="D49" s="133"/>
      <c r="G49" s="133"/>
      <c r="J49" s="133"/>
      <c r="M49" s="133"/>
      <c r="N49" s="133"/>
    </row>
    <row r="50" spans="4:14" x14ac:dyDescent="0.25">
      <c r="D50" s="133"/>
      <c r="G50" s="133"/>
      <c r="J50" s="133"/>
      <c r="M50" s="133"/>
      <c r="N50" s="133"/>
    </row>
    <row r="51" spans="4:14" x14ac:dyDescent="0.25">
      <c r="D51" s="133"/>
      <c r="G51" s="133"/>
      <c r="J51" s="133"/>
      <c r="M51" s="133"/>
      <c r="N51" s="133"/>
    </row>
    <row r="52" spans="4:14" x14ac:dyDescent="0.25">
      <c r="D52" s="133"/>
      <c r="G52" s="133"/>
      <c r="J52" s="133"/>
      <c r="M52" s="133"/>
      <c r="N52" s="133"/>
    </row>
    <row r="53" spans="4:14" x14ac:dyDescent="0.25">
      <c r="D53" s="133"/>
      <c r="G53" s="133"/>
      <c r="J53" s="133"/>
      <c r="M53" s="133"/>
      <c r="N53" s="133"/>
    </row>
    <row r="54" spans="4:14" x14ac:dyDescent="0.25">
      <c r="D54" s="133"/>
      <c r="G54" s="133"/>
      <c r="J54" s="133"/>
      <c r="M54" s="133"/>
      <c r="N54" s="133"/>
    </row>
    <row r="55" spans="4:14" x14ac:dyDescent="0.25">
      <c r="D55" s="133"/>
      <c r="G55" s="133"/>
      <c r="J55" s="133"/>
      <c r="M55" s="133"/>
      <c r="N55" s="133"/>
    </row>
    <row r="56" spans="4:14" x14ac:dyDescent="0.25">
      <c r="D56" s="133"/>
      <c r="G56" s="133"/>
      <c r="J56" s="133"/>
      <c r="M56" s="133"/>
      <c r="N56" s="133"/>
    </row>
    <row r="57" spans="4:14" x14ac:dyDescent="0.25">
      <c r="D57" s="133"/>
      <c r="G57" s="133"/>
      <c r="J57" s="133"/>
      <c r="M57" s="133"/>
      <c r="N57" s="133"/>
    </row>
    <row r="58" spans="4:14" x14ac:dyDescent="0.25">
      <c r="D58" s="133"/>
      <c r="G58" s="133"/>
      <c r="J58" s="133"/>
      <c r="M58" s="133"/>
      <c r="N58" s="133"/>
    </row>
    <row r="59" spans="4:14" x14ac:dyDescent="0.25">
      <c r="D59" s="133"/>
      <c r="G59" s="133"/>
      <c r="J59" s="133"/>
      <c r="M59" s="133"/>
      <c r="N59" s="133"/>
    </row>
    <row r="60" spans="4:14" x14ac:dyDescent="0.25">
      <c r="D60" s="133"/>
      <c r="G60" s="133"/>
      <c r="J60" s="133"/>
      <c r="M60" s="133"/>
      <c r="N60" s="133"/>
    </row>
    <row r="61" spans="4:14" x14ac:dyDescent="0.25">
      <c r="D61" s="133"/>
      <c r="G61" s="133"/>
      <c r="J61" s="133"/>
      <c r="M61" s="133"/>
      <c r="N61" s="133"/>
    </row>
    <row r="62" spans="4:14" x14ac:dyDescent="0.25">
      <c r="D62" s="133"/>
      <c r="G62" s="133"/>
      <c r="J62" s="133"/>
      <c r="M62" s="133"/>
      <c r="N62" s="133"/>
    </row>
    <row r="63" spans="4:14" x14ac:dyDescent="0.25">
      <c r="D63" s="133"/>
      <c r="G63" s="133"/>
      <c r="J63" s="133"/>
      <c r="M63" s="133"/>
      <c r="N63" s="133"/>
    </row>
    <row r="64" spans="4:14" x14ac:dyDescent="0.25">
      <c r="D64" s="133"/>
      <c r="G64" s="133"/>
      <c r="J64" s="133"/>
      <c r="M64" s="133"/>
      <c r="N64" s="133"/>
    </row>
    <row r="65" spans="4:14" x14ac:dyDescent="0.25">
      <c r="D65" s="133"/>
      <c r="G65" s="133"/>
      <c r="J65" s="133"/>
      <c r="M65" s="133"/>
      <c r="N65" s="133"/>
    </row>
    <row r="66" spans="4:14" x14ac:dyDescent="0.25">
      <c r="D66" s="133"/>
      <c r="G66" s="133"/>
      <c r="J66" s="133"/>
      <c r="M66" s="133"/>
      <c r="N66" s="133"/>
    </row>
    <row r="67" spans="4:14" x14ac:dyDescent="0.25">
      <c r="D67" s="133"/>
      <c r="G67" s="133"/>
      <c r="J67" s="133"/>
      <c r="M67" s="133"/>
      <c r="N67" s="133"/>
    </row>
    <row r="68" spans="4:14" x14ac:dyDescent="0.25">
      <c r="D68" s="133"/>
      <c r="G68" s="133"/>
      <c r="J68" s="133"/>
      <c r="M68" s="133"/>
      <c r="N68" s="133"/>
    </row>
    <row r="69" spans="4:14" x14ac:dyDescent="0.25">
      <c r="D69" s="133"/>
      <c r="G69" s="133"/>
      <c r="J69" s="133"/>
      <c r="M69" s="133"/>
      <c r="N69" s="133"/>
    </row>
    <row r="70" spans="4:14" x14ac:dyDescent="0.25">
      <c r="D70" s="133"/>
      <c r="G70" s="133"/>
      <c r="J70" s="133"/>
      <c r="M70" s="133"/>
      <c r="N70" s="133"/>
    </row>
    <row r="71" spans="4:14" x14ac:dyDescent="0.25">
      <c r="D71" s="133"/>
      <c r="G71" s="133"/>
      <c r="J71" s="133"/>
      <c r="M71" s="133"/>
      <c r="N71" s="133"/>
    </row>
    <row r="72" spans="4:14" x14ac:dyDescent="0.25">
      <c r="D72" s="133"/>
      <c r="G72" s="133"/>
      <c r="J72" s="133"/>
      <c r="M72" s="133"/>
      <c r="N72" s="133"/>
    </row>
    <row r="73" spans="4:14" x14ac:dyDescent="0.25">
      <c r="D73" s="133"/>
      <c r="G73" s="133"/>
      <c r="J73" s="133"/>
      <c r="M73" s="133"/>
      <c r="N73" s="133"/>
    </row>
    <row r="74" spans="4:14" x14ac:dyDescent="0.25">
      <c r="D74" s="133"/>
      <c r="G74" s="133"/>
      <c r="J74" s="133"/>
      <c r="M74" s="133"/>
      <c r="N74" s="133"/>
    </row>
    <row r="75" spans="4:14" x14ac:dyDescent="0.25">
      <c r="D75" s="133"/>
      <c r="G75" s="133"/>
      <c r="J75" s="133"/>
      <c r="M75" s="133"/>
      <c r="N75" s="133"/>
    </row>
    <row r="76" spans="4:14" x14ac:dyDescent="0.25">
      <c r="D76" s="133"/>
      <c r="G76" s="133"/>
      <c r="J76" s="133"/>
      <c r="M76" s="133"/>
      <c r="N76" s="133"/>
    </row>
    <row r="77" spans="4:14" x14ac:dyDescent="0.25">
      <c r="D77" s="133"/>
      <c r="G77" s="133"/>
      <c r="J77" s="133"/>
      <c r="M77" s="133"/>
      <c r="N77" s="133"/>
    </row>
    <row r="78" spans="4:14" x14ac:dyDescent="0.25">
      <c r="D78" s="133"/>
      <c r="G78" s="133"/>
      <c r="J78" s="133"/>
      <c r="M78" s="133"/>
      <c r="N78" s="133"/>
    </row>
    <row r="79" spans="4:14" x14ac:dyDescent="0.25">
      <c r="D79" s="133"/>
      <c r="G79" s="133"/>
      <c r="J79" s="133"/>
      <c r="M79" s="133"/>
      <c r="N79" s="133"/>
    </row>
    <row r="80" spans="4:14" x14ac:dyDescent="0.25">
      <c r="D80" s="133"/>
      <c r="G80" s="133"/>
      <c r="J80" s="133"/>
      <c r="M80" s="133"/>
      <c r="N80" s="133"/>
    </row>
    <row r="81" spans="4:14" x14ac:dyDescent="0.25">
      <c r="D81" s="133"/>
      <c r="G81" s="133"/>
      <c r="J81" s="133"/>
      <c r="M81" s="133"/>
      <c r="N81" s="133"/>
    </row>
    <row r="82" spans="4:14" x14ac:dyDescent="0.25">
      <c r="D82" s="133"/>
      <c r="G82" s="133"/>
      <c r="J82" s="133"/>
      <c r="M82" s="133"/>
      <c r="N82" s="133"/>
    </row>
    <row r="83" spans="4:14" x14ac:dyDescent="0.25">
      <c r="D83" s="133"/>
      <c r="G83" s="133"/>
      <c r="J83" s="133"/>
      <c r="M83" s="133"/>
      <c r="N83" s="133"/>
    </row>
    <row r="84" spans="4:14" x14ac:dyDescent="0.25">
      <c r="D84" s="133"/>
      <c r="G84" s="133"/>
      <c r="J84" s="133"/>
      <c r="M84" s="133"/>
      <c r="N84" s="133"/>
    </row>
    <row r="85" spans="4:14" x14ac:dyDescent="0.25">
      <c r="D85" s="133"/>
      <c r="G85" s="133"/>
      <c r="J85" s="133"/>
      <c r="M85" s="133"/>
      <c r="N85" s="133"/>
    </row>
    <row r="86" spans="4:14" x14ac:dyDescent="0.25">
      <c r="D86" s="133"/>
      <c r="G86" s="133"/>
      <c r="J86" s="133"/>
      <c r="M86" s="133"/>
      <c r="N86" s="133"/>
    </row>
    <row r="87" spans="4:14" x14ac:dyDescent="0.25">
      <c r="D87" s="133"/>
      <c r="G87" s="133"/>
      <c r="J87" s="133"/>
      <c r="M87" s="133"/>
      <c r="N87" s="133"/>
    </row>
    <row r="88" spans="4:14" x14ac:dyDescent="0.25">
      <c r="D88" s="133"/>
      <c r="G88" s="133"/>
      <c r="J88" s="133"/>
      <c r="M88" s="133"/>
      <c r="N88" s="133"/>
    </row>
    <row r="89" spans="4:14" x14ac:dyDescent="0.25">
      <c r="D89" s="133"/>
      <c r="G89" s="133"/>
      <c r="J89" s="133"/>
      <c r="M89" s="133"/>
      <c r="N89" s="133"/>
    </row>
    <row r="90" spans="4:14" x14ac:dyDescent="0.25">
      <c r="D90" s="133"/>
      <c r="G90" s="133"/>
      <c r="J90" s="133"/>
      <c r="M90" s="133"/>
      <c r="N90" s="133"/>
    </row>
    <row r="91" spans="4:14" x14ac:dyDescent="0.25">
      <c r="D91" s="133"/>
      <c r="G91" s="133"/>
      <c r="J91" s="133"/>
      <c r="M91" s="133"/>
      <c r="N91" s="133"/>
    </row>
    <row r="92" spans="4:14" x14ac:dyDescent="0.25">
      <c r="D92" s="133"/>
      <c r="G92" s="133"/>
      <c r="J92" s="133"/>
      <c r="M92" s="133"/>
      <c r="N92" s="133"/>
    </row>
    <row r="93" spans="4:14" x14ac:dyDescent="0.25">
      <c r="D93" s="133"/>
      <c r="G93" s="133"/>
      <c r="J93" s="133"/>
      <c r="M93" s="133"/>
      <c r="N93" s="133"/>
    </row>
    <row r="94" spans="4:14" x14ac:dyDescent="0.25">
      <c r="D94" s="133"/>
      <c r="G94" s="133"/>
      <c r="J94" s="133"/>
      <c r="M94" s="133"/>
      <c r="N94" s="133"/>
    </row>
    <row r="95" spans="4:14" x14ac:dyDescent="0.25">
      <c r="D95" s="133"/>
      <c r="G95" s="133"/>
      <c r="J95" s="133"/>
      <c r="M95" s="133"/>
      <c r="N95" s="133"/>
    </row>
    <row r="96" spans="4:14" x14ac:dyDescent="0.25">
      <c r="D96" s="133"/>
      <c r="G96" s="133"/>
      <c r="J96" s="133"/>
      <c r="M96" s="133"/>
      <c r="N96" s="133"/>
    </row>
    <row r="97" spans="4:14" x14ac:dyDescent="0.25">
      <c r="D97" s="133"/>
      <c r="G97" s="133"/>
      <c r="J97" s="133"/>
      <c r="M97" s="133"/>
      <c r="N97" s="133"/>
    </row>
    <row r="98" spans="4:14" x14ac:dyDescent="0.25">
      <c r="D98" s="133"/>
      <c r="G98" s="133"/>
      <c r="J98" s="133"/>
      <c r="M98" s="133"/>
      <c r="N98" s="133"/>
    </row>
    <row r="99" spans="4:14" x14ac:dyDescent="0.25">
      <c r="D99" s="133"/>
      <c r="G99" s="133"/>
      <c r="J99" s="133"/>
      <c r="M99" s="133"/>
      <c r="N99" s="133"/>
    </row>
    <row r="100" spans="4:14" x14ac:dyDescent="0.25">
      <c r="D100" s="133"/>
      <c r="G100" s="133"/>
      <c r="J100" s="133"/>
      <c r="M100" s="133"/>
      <c r="N100" s="133"/>
    </row>
    <row r="101" spans="4:14" x14ac:dyDescent="0.25">
      <c r="D101" s="133"/>
      <c r="G101" s="133"/>
      <c r="J101" s="133"/>
      <c r="M101" s="133"/>
      <c r="N101" s="133"/>
    </row>
    <row r="102" spans="4:14" x14ac:dyDescent="0.25">
      <c r="D102" s="133"/>
      <c r="G102" s="133"/>
      <c r="J102" s="133"/>
      <c r="M102" s="133"/>
      <c r="N102" s="133"/>
    </row>
    <row r="103" spans="4:14" x14ac:dyDescent="0.25">
      <c r="D103" s="133"/>
      <c r="G103" s="133"/>
      <c r="J103" s="133"/>
      <c r="M103" s="133"/>
      <c r="N103" s="133"/>
    </row>
    <row r="104" spans="4:14" x14ac:dyDescent="0.25">
      <c r="D104" s="133"/>
      <c r="G104" s="133"/>
      <c r="J104" s="133"/>
      <c r="M104" s="133"/>
      <c r="N104" s="133"/>
    </row>
    <row r="105" spans="4:14" x14ac:dyDescent="0.25">
      <c r="D105" s="133"/>
      <c r="G105" s="133"/>
      <c r="J105" s="133"/>
      <c r="M105" s="133"/>
      <c r="N105" s="133"/>
    </row>
    <row r="106" spans="4:14" x14ac:dyDescent="0.25">
      <c r="D106" s="133"/>
      <c r="G106" s="133"/>
      <c r="J106" s="133"/>
      <c r="M106" s="133"/>
      <c r="N106" s="133"/>
    </row>
    <row r="107" spans="4:14" x14ac:dyDescent="0.25">
      <c r="D107" s="133"/>
      <c r="G107" s="133"/>
      <c r="J107" s="133"/>
      <c r="M107" s="133"/>
      <c r="N107" s="133"/>
    </row>
    <row r="108" spans="4:14" x14ac:dyDescent="0.25">
      <c r="D108" s="133"/>
      <c r="G108" s="133"/>
      <c r="J108" s="133"/>
      <c r="M108" s="133"/>
      <c r="N108" s="133"/>
    </row>
    <row r="109" spans="4:14" x14ac:dyDescent="0.25">
      <c r="D109" s="133"/>
      <c r="G109" s="133"/>
      <c r="J109" s="133"/>
      <c r="M109" s="133"/>
      <c r="N109" s="133"/>
    </row>
    <row r="110" spans="4:14" x14ac:dyDescent="0.25">
      <c r="D110" s="133"/>
      <c r="G110" s="133"/>
      <c r="J110" s="133"/>
      <c r="M110" s="133"/>
      <c r="N110" s="133"/>
    </row>
    <row r="111" spans="4:14" x14ac:dyDescent="0.25">
      <c r="D111" s="133"/>
      <c r="G111" s="133"/>
      <c r="J111" s="133"/>
      <c r="M111" s="133"/>
      <c r="N111" s="133"/>
    </row>
    <row r="112" spans="4:14" x14ac:dyDescent="0.25">
      <c r="D112" s="133"/>
      <c r="G112" s="133"/>
      <c r="J112" s="133"/>
      <c r="M112" s="133"/>
      <c r="N112" s="133"/>
    </row>
  </sheetData>
  <sheetProtection algorithmName="SHA-512" hashValue="pn4W902GEC5XHXx/Hgt4+iQseMTsETtjKXKXEVxHHldn3LLcwDMizt6hWbGD8zS5KIPq6bjEBV181n1Mt5YdDw==" saltValue="JrYwkuGHAh26Zlp/Qjq+Vw==" spinCount="100000" sheet="1" objects="1" scenarios="1"/>
  <mergeCells count="3">
    <mergeCell ref="C5:E5"/>
    <mergeCell ref="H5:I7"/>
    <mergeCell ref="P2:Q2"/>
  </mergeCells>
  <conditionalFormatting sqref="R19">
    <cfRule type="notContainsBlanks" dxfId="2" priority="1">
      <formula>LEN(TRIM(R19))&gt;0</formula>
    </cfRule>
    <cfRule type="colorScale" priority="2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P18:P1048576" xr:uid="{8E0D0FE9-F6DB-47A9-B93B-B93381477D15}">
      <formula1>$V$18:$V$20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5F7D4-8968-DF42-A086-E9A78539070C}">
  <dimension ref="B4:E14"/>
  <sheetViews>
    <sheetView showGridLines="0" zoomScale="120" zoomScaleNormal="120" workbookViewId="0">
      <selection activeCell="C14" sqref="C14"/>
    </sheetView>
  </sheetViews>
  <sheetFormatPr defaultColWidth="11.25" defaultRowHeight="15.75" x14ac:dyDescent="0.25"/>
  <cols>
    <col min="1" max="1" width="4.5" style="36" customWidth="1"/>
    <col min="2" max="2" width="24.25" style="36" customWidth="1"/>
    <col min="3" max="3" width="16.25" style="36" customWidth="1"/>
    <col min="4" max="16384" width="11.25" style="36"/>
  </cols>
  <sheetData>
    <row r="4" spans="2:5" x14ac:dyDescent="0.25">
      <c r="B4" s="178" t="s">
        <v>103</v>
      </c>
      <c r="C4" s="179"/>
    </row>
    <row r="5" spans="2:5" x14ac:dyDescent="0.25">
      <c r="B5" s="179"/>
      <c r="C5" s="179"/>
    </row>
    <row r="6" spans="2:5" x14ac:dyDescent="0.25">
      <c r="B6" s="179"/>
      <c r="C6" s="179"/>
    </row>
    <row r="7" spans="2:5" ht="18.75" x14ac:dyDescent="0.3">
      <c r="B7" s="90"/>
      <c r="C7" s="95" t="s">
        <v>92</v>
      </c>
      <c r="D7" s="92"/>
      <c r="E7" s="92"/>
    </row>
    <row r="8" spans="2:5" ht="18.75" x14ac:dyDescent="0.3">
      <c r="B8" s="93"/>
      <c r="C8" s="181" t="s">
        <v>93</v>
      </c>
      <c r="D8" s="181"/>
      <c r="E8" s="181"/>
    </row>
    <row r="10" spans="2:5" x14ac:dyDescent="0.25">
      <c r="B10" s="24" t="s">
        <v>9</v>
      </c>
      <c r="C10" s="24" t="s">
        <v>10</v>
      </c>
    </row>
    <row r="11" spans="2:5" x14ac:dyDescent="0.25">
      <c r="B11" s="96" t="s">
        <v>19</v>
      </c>
      <c r="C11" s="119">
        <v>300000</v>
      </c>
    </row>
    <row r="12" spans="2:5" x14ac:dyDescent="0.25">
      <c r="B12" s="96" t="s">
        <v>34</v>
      </c>
      <c r="C12" s="97">
        <v>10000</v>
      </c>
    </row>
    <row r="13" spans="2:5" x14ac:dyDescent="0.25">
      <c r="B13" s="96" t="s">
        <v>87</v>
      </c>
      <c r="C13" s="97">
        <v>7869</v>
      </c>
    </row>
    <row r="14" spans="2:5" x14ac:dyDescent="0.25">
      <c r="B14" s="99" t="s">
        <v>25</v>
      </c>
      <c r="C14" s="120">
        <f>SUM(C11:C13)</f>
        <v>317869</v>
      </c>
    </row>
  </sheetData>
  <sheetProtection algorithmName="SHA-512" hashValue="3zehFI9kowxOEl++WbVY089TwmND10lrF/ym7K1tVG+r3Fla+ku+lOiN66dIfBHRTHEKJaFZTTgfdaXHR6my3w==" saltValue="kheEMtgR23PzQPa6uSsw8Q==" spinCount="100000" sheet="1" objects="1" scenarios="1"/>
  <mergeCells count="2">
    <mergeCell ref="C8:E8"/>
    <mergeCell ref="B4:C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47533-8EE1-554D-8057-54471D197C8A}">
  <dimension ref="B6:E14"/>
  <sheetViews>
    <sheetView showGridLines="0" zoomScale="120" zoomScaleNormal="120" workbookViewId="0">
      <selection activeCell="G33" sqref="G33"/>
    </sheetView>
  </sheetViews>
  <sheetFormatPr defaultColWidth="11.25" defaultRowHeight="15.75" x14ac:dyDescent="0.25"/>
  <cols>
    <col min="1" max="1" width="6.25" style="36" customWidth="1"/>
    <col min="2" max="2" width="20.75" style="36" customWidth="1"/>
    <col min="3" max="3" width="13.25" style="36" customWidth="1"/>
    <col min="4" max="16384" width="11.25" style="36"/>
  </cols>
  <sheetData>
    <row r="6" spans="2:5" x14ac:dyDescent="0.25">
      <c r="B6" s="178" t="s">
        <v>103</v>
      </c>
      <c r="C6" s="179"/>
    </row>
    <row r="7" spans="2:5" x14ac:dyDescent="0.25">
      <c r="B7" s="179"/>
      <c r="C7" s="179"/>
    </row>
    <row r="8" spans="2:5" x14ac:dyDescent="0.25">
      <c r="B8" s="179"/>
      <c r="C8" s="179"/>
    </row>
    <row r="9" spans="2:5" ht="18.75" x14ac:dyDescent="0.3">
      <c r="B9" s="90"/>
      <c r="C9" s="95" t="s">
        <v>92</v>
      </c>
      <c r="D9" s="92"/>
      <c r="E9" s="92"/>
    </row>
    <row r="10" spans="2:5" ht="18.75" x14ac:dyDescent="0.3">
      <c r="B10" s="93"/>
      <c r="C10" s="181" t="s">
        <v>93</v>
      </c>
      <c r="D10" s="181"/>
      <c r="E10" s="181"/>
    </row>
    <row r="12" spans="2:5" x14ac:dyDescent="0.25">
      <c r="B12" s="23" t="s">
        <v>9</v>
      </c>
      <c r="C12" s="24" t="s">
        <v>10</v>
      </c>
    </row>
    <row r="13" spans="2:5" x14ac:dyDescent="0.25">
      <c r="B13" s="96" t="s">
        <v>1</v>
      </c>
      <c r="C13" s="129">
        <v>15000</v>
      </c>
    </row>
    <row r="14" spans="2:5" x14ac:dyDescent="0.25">
      <c r="B14" s="99" t="s">
        <v>25</v>
      </c>
      <c r="C14" s="130">
        <f>SUM(C13)</f>
        <v>15000</v>
      </c>
    </row>
  </sheetData>
  <sheetProtection algorithmName="SHA-512" hashValue="/vo3ZcCzf7hDCOMzV4SQ4a92AutxcIjhRHl3MOEuZtXkaGFujdaz6wT63q1K41XagrEv+wGd0jEHUmRlm97sBA==" saltValue="Cx19lGg/UZEcpiIz/r6NJA==" spinCount="100000" sheet="1" objects="1" scenarios="1"/>
  <mergeCells count="2">
    <mergeCell ref="C10:E10"/>
    <mergeCell ref="B6:C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3BB54-9F52-C04C-A76B-1E08E927724B}">
  <dimension ref="B6:E15"/>
  <sheetViews>
    <sheetView showGridLines="0" topLeftCell="A4" zoomScale="120" zoomScaleNormal="120" workbookViewId="0">
      <selection activeCell="E15" sqref="E15"/>
    </sheetView>
  </sheetViews>
  <sheetFormatPr defaultColWidth="11.25" defaultRowHeight="15.75" x14ac:dyDescent="0.25"/>
  <cols>
    <col min="1" max="1" width="6.25" style="36" customWidth="1"/>
    <col min="2" max="2" width="27.625" style="36" bestFit="1" customWidth="1"/>
    <col min="3" max="3" width="13.25" style="36" customWidth="1"/>
    <col min="4" max="16384" width="11.25" style="36"/>
  </cols>
  <sheetData>
    <row r="6" spans="2:5" x14ac:dyDescent="0.25">
      <c r="B6" s="178" t="s">
        <v>103</v>
      </c>
      <c r="C6" s="179"/>
    </row>
    <row r="7" spans="2:5" x14ac:dyDescent="0.25">
      <c r="B7" s="179"/>
      <c r="C7" s="179"/>
    </row>
    <row r="8" spans="2:5" x14ac:dyDescent="0.25">
      <c r="B8" s="179"/>
      <c r="C8" s="179"/>
    </row>
    <row r="9" spans="2:5" ht="18.75" x14ac:dyDescent="0.3">
      <c r="B9" s="90"/>
      <c r="C9" s="95" t="s">
        <v>92</v>
      </c>
      <c r="D9" s="92"/>
      <c r="E9" s="92"/>
    </row>
    <row r="10" spans="2:5" ht="18.75" x14ac:dyDescent="0.3">
      <c r="B10" s="93"/>
      <c r="C10" s="181" t="s">
        <v>93</v>
      </c>
      <c r="D10" s="181"/>
      <c r="E10" s="181"/>
    </row>
    <row r="12" spans="2:5" x14ac:dyDescent="0.25">
      <c r="B12" s="23" t="s">
        <v>9</v>
      </c>
      <c r="C12" s="24" t="s">
        <v>10</v>
      </c>
    </row>
    <row r="13" spans="2:5" x14ac:dyDescent="0.25">
      <c r="B13" s="96" t="s">
        <v>107</v>
      </c>
      <c r="C13" s="129"/>
    </row>
    <row r="14" spans="2:5" x14ac:dyDescent="0.25">
      <c r="B14" s="96" t="s">
        <v>115</v>
      </c>
      <c r="C14" s="129"/>
    </row>
    <row r="15" spans="2:5" x14ac:dyDescent="0.25">
      <c r="B15" s="99" t="s">
        <v>25</v>
      </c>
      <c r="C15" s="130">
        <f>SUM(C13)</f>
        <v>0</v>
      </c>
    </row>
  </sheetData>
  <sheetProtection algorithmName="SHA-512" hashValue="Rur+coROgzcb+9zBMkAMc8lFMu/QPKga0mnP2AfQ9FirWTLbP658r4nRKnLiFscluwIjZX38YSVcwHqah1VXBw==" saltValue="fsYUi27YMXqF8sDA2qMLfQ==" spinCount="100000" sheet="1" objects="1" scenarios="1"/>
  <mergeCells count="2">
    <mergeCell ref="C10:E10"/>
    <mergeCell ref="B6:C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0ACAC-00D1-A141-A5F0-DB4F5570E3F2}">
  <dimension ref="B6:R30"/>
  <sheetViews>
    <sheetView showGridLines="0" topLeftCell="A4" zoomScale="88" zoomScaleNormal="88" workbookViewId="0">
      <pane xSplit="2" topLeftCell="C1" activePane="topRight" state="frozen"/>
      <selection pane="topRight" activeCell="I32" sqref="I32:I33"/>
    </sheetView>
  </sheetViews>
  <sheetFormatPr defaultColWidth="11.25" defaultRowHeight="15.75" x14ac:dyDescent="0.25"/>
  <cols>
    <col min="1" max="1" width="4.75" style="6" customWidth="1"/>
    <col min="2" max="2" width="23" style="6" bestFit="1" customWidth="1"/>
    <col min="3" max="3" width="12.75" style="6" customWidth="1"/>
    <col min="4" max="4" width="23.75" style="6" customWidth="1"/>
    <col min="5" max="5" width="15.25" style="6" bestFit="1" customWidth="1"/>
    <col min="6" max="6" width="23.75" style="6" customWidth="1"/>
    <col min="7" max="7" width="28.75" style="6" bestFit="1" customWidth="1"/>
    <col min="8" max="8" width="13.75" style="6" customWidth="1"/>
    <col min="9" max="9" width="23" style="6" customWidth="1"/>
    <col min="10" max="10" width="13" style="6" customWidth="1"/>
    <col min="11" max="11" width="28.75" style="6" bestFit="1" customWidth="1"/>
    <col min="12" max="12" width="1.75" style="9" customWidth="1"/>
    <col min="13" max="13" width="14.25" style="6" customWidth="1"/>
    <col min="14" max="17" width="11.25" style="6"/>
    <col min="18" max="18" width="16.75" style="6" customWidth="1"/>
    <col min="19" max="16384" width="11.25" style="6"/>
  </cols>
  <sheetData>
    <row r="6" spans="2:18" x14ac:dyDescent="0.25">
      <c r="D6" s="172" t="s">
        <v>103</v>
      </c>
      <c r="E6" s="172"/>
      <c r="F6" s="172"/>
    </row>
    <row r="7" spans="2:18" ht="18.75" x14ac:dyDescent="0.3">
      <c r="B7" s="58"/>
      <c r="C7" s="4" t="s">
        <v>92</v>
      </c>
      <c r="D7" s="172"/>
      <c r="E7" s="172"/>
      <c r="F7" s="172"/>
    </row>
    <row r="8" spans="2:18" ht="15.4" customHeight="1" x14ac:dyDescent="0.3">
      <c r="B8" s="59"/>
      <c r="C8" s="5" t="s">
        <v>106</v>
      </c>
      <c r="D8" s="3"/>
      <c r="E8" s="3"/>
      <c r="M8" s="183" t="s">
        <v>55</v>
      </c>
      <c r="N8" s="183"/>
      <c r="O8" s="183"/>
      <c r="P8" s="183"/>
      <c r="Q8" s="183"/>
      <c r="R8" s="183"/>
    </row>
    <row r="9" spans="2:18" ht="15.4" customHeight="1" x14ac:dyDescent="0.25">
      <c r="D9" s="1"/>
      <c r="E9" s="1"/>
      <c r="M9" s="10"/>
      <c r="N9" s="10"/>
      <c r="O9" s="10"/>
      <c r="P9" s="10"/>
      <c r="Q9" s="10"/>
      <c r="R9" s="10"/>
    </row>
    <row r="10" spans="2:18" x14ac:dyDescent="0.25">
      <c r="B10" s="24" t="s">
        <v>42</v>
      </c>
      <c r="C10" s="24" t="s">
        <v>46</v>
      </c>
      <c r="D10" s="24" t="s">
        <v>99</v>
      </c>
      <c r="E10" s="24" t="s">
        <v>43</v>
      </c>
      <c r="F10" s="24" t="s">
        <v>44</v>
      </c>
      <c r="G10" s="24" t="s">
        <v>47</v>
      </c>
      <c r="H10" s="24" t="s">
        <v>48</v>
      </c>
      <c r="I10" s="24" t="s">
        <v>45</v>
      </c>
      <c r="J10" s="24" t="s">
        <v>50</v>
      </c>
      <c r="K10" s="24" t="s">
        <v>49</v>
      </c>
      <c r="L10" s="11"/>
      <c r="M10" s="24" t="s">
        <v>5</v>
      </c>
      <c r="N10" s="24" t="s">
        <v>41</v>
      </c>
      <c r="O10" s="24" t="s">
        <v>0</v>
      </c>
      <c r="P10" s="24" t="s">
        <v>39</v>
      </c>
      <c r="Q10" s="24" t="s">
        <v>1</v>
      </c>
      <c r="R10" s="24" t="s">
        <v>2</v>
      </c>
    </row>
    <row r="11" spans="2:18" x14ac:dyDescent="0.25">
      <c r="B11" s="60" t="s">
        <v>136</v>
      </c>
      <c r="C11" s="61">
        <v>1</v>
      </c>
      <c r="D11" s="61">
        <v>1</v>
      </c>
      <c r="E11" s="62" t="str">
        <f t="shared" ref="E11:E25" si="0">IF(ISBLANK(D11)=TRUE,"",IF(D11&lt;3,"Short Term",IF(D11&lt;=6,"Medium Term","Long Term")))</f>
        <v>Short Term</v>
      </c>
      <c r="F11" s="69">
        <v>156317</v>
      </c>
      <c r="G11" s="69">
        <v>41000</v>
      </c>
      <c r="H11" s="63">
        <v>9.6000000000000002E-2</v>
      </c>
      <c r="I11" s="71">
        <f>IFERROR(IF(F11=G11," ",F11*(1+H11)^D11-G11*(1+HLOOKUP(E11,'Returns &amp; Asset Mix assumption'!$D$13:$F$20,8,0))^D11),"")</f>
        <v>127863.432</v>
      </c>
      <c r="J11" s="64">
        <v>0.05</v>
      </c>
      <c r="K11" s="73">
        <v>10000</v>
      </c>
      <c r="L11" s="12"/>
      <c r="M11" s="75">
        <f>IFERROR(HLOOKUP($E11,'Returns &amp; Asset Mix assumption'!$D$13:$F$20,2,0)*$K11,0)</f>
        <v>0</v>
      </c>
      <c r="N11" s="75">
        <f>IFERROR(HLOOKUP($E11,'Returns &amp; Asset Mix assumption'!$D$13:$F$20,3,0)*$K11,0)</f>
        <v>0</v>
      </c>
      <c r="O11" s="75">
        <f>IFERROR(HLOOKUP($E11,'Returns &amp; Asset Mix assumption'!$D$13:$F$20,4,0)*$K11,0)</f>
        <v>10000</v>
      </c>
      <c r="P11" s="75">
        <f>IFERROR(HLOOKUP($E11,'Returns &amp; Asset Mix assumption'!$D$13:$F$20,5,0)*$K11,0)</f>
        <v>0</v>
      </c>
      <c r="Q11" s="75">
        <f>IFERROR(HLOOKUP($E11,'Returns &amp; Asset Mix assumption'!$D$13:$F$20,6,0)*$K11,0)</f>
        <v>0</v>
      </c>
      <c r="R11" s="75">
        <f>IFERROR(HLOOKUP($E11,'Returns &amp; Asset Mix assumption'!$D$13:$F$20,7,0)*$K11,0)</f>
        <v>0</v>
      </c>
    </row>
    <row r="12" spans="2:18" x14ac:dyDescent="0.25">
      <c r="B12" s="60" t="s">
        <v>144</v>
      </c>
      <c r="C12" s="61">
        <v>1</v>
      </c>
      <c r="D12" s="61">
        <v>1</v>
      </c>
      <c r="E12" s="62" t="str">
        <f t="shared" si="0"/>
        <v>Short Term</v>
      </c>
      <c r="F12" s="69">
        <v>300000</v>
      </c>
      <c r="G12" s="69">
        <f>114371+50000+82000</f>
        <v>246371</v>
      </c>
      <c r="H12" s="63">
        <v>0.01</v>
      </c>
      <c r="I12" s="71">
        <f>IFERROR(IF(F12=G12," ",F12*(1+H12)^D12-G12*(1+HLOOKUP(E12,'Returns &amp; Asset Mix assumption'!$D$13:$F$20,8,0))^D12),"")</f>
        <v>41846.739999999991</v>
      </c>
      <c r="J12" s="63">
        <v>0.05</v>
      </c>
      <c r="K12" s="73">
        <v>4000</v>
      </c>
      <c r="L12" s="12"/>
      <c r="M12" s="75">
        <f>IFERROR(HLOOKUP($E12,'Returns &amp; Asset Mix assumption'!$D$13:$F$20,2,0)*$K12,0)</f>
        <v>0</v>
      </c>
      <c r="N12" s="75">
        <f>IFERROR(HLOOKUP($E12,'Returns &amp; Asset Mix assumption'!$D$13:$F$20,3,0)*$K12,0)</f>
        <v>0</v>
      </c>
      <c r="O12" s="75">
        <f>IFERROR(HLOOKUP($E12,'Returns &amp; Asset Mix assumption'!$D$13:$F$20,4,0)*$K12,0)</f>
        <v>4000</v>
      </c>
      <c r="P12" s="75">
        <f>IFERROR(HLOOKUP($E12,'Returns &amp; Asset Mix assumption'!$D$13:$F$20,5,0)*$K12,0)</f>
        <v>0</v>
      </c>
      <c r="Q12" s="75">
        <f>IFERROR(HLOOKUP($E12,'Returns &amp; Asset Mix assumption'!$D$13:$F$20,6,0)*$K12,0)</f>
        <v>0</v>
      </c>
      <c r="R12" s="75">
        <f>IFERROR(HLOOKUP($E12,'Returns &amp; Asset Mix assumption'!$D$13:$F$20,7,0)*$K12,0)</f>
        <v>0</v>
      </c>
    </row>
    <row r="13" spans="2:18" x14ac:dyDescent="0.25">
      <c r="B13" s="60" t="s">
        <v>148</v>
      </c>
      <c r="C13" s="61">
        <v>8</v>
      </c>
      <c r="D13" s="61">
        <v>20</v>
      </c>
      <c r="E13" s="62" t="str">
        <f t="shared" si="0"/>
        <v>Long Term</v>
      </c>
      <c r="F13" s="69">
        <v>7200000</v>
      </c>
      <c r="G13" s="69">
        <v>255000</v>
      </c>
      <c r="H13" s="63">
        <v>0.06</v>
      </c>
      <c r="I13" s="71">
        <f>IFERROR(IF(F13=G13," ",F13*(1+H13)^D13-G13*(1+HLOOKUP(E13,'Returns &amp; Asset Mix assumption'!$D$13:$F$20,8,0))^D13),"")</f>
        <v>20998124.149793532</v>
      </c>
      <c r="J13" s="63">
        <v>0.15</v>
      </c>
      <c r="K13" s="73">
        <v>7500</v>
      </c>
      <c r="L13" s="12"/>
      <c r="M13" s="75">
        <f>IFERROR(HLOOKUP($E13,'Returns &amp; Asset Mix assumption'!$D$13:$F$20,2,0)*$K13,0)</f>
        <v>4500</v>
      </c>
      <c r="N13" s="75">
        <f>IFERROR(HLOOKUP($E13,'Returns &amp; Asset Mix assumption'!$D$13:$F$20,3,0)*$K13,0)</f>
        <v>750</v>
      </c>
      <c r="O13" s="75">
        <f>IFERROR(HLOOKUP($E13,'Returns &amp; Asset Mix assumption'!$D$13:$F$20,4,0)*$K13,0)</f>
        <v>1125</v>
      </c>
      <c r="P13" s="75">
        <f>IFERROR(HLOOKUP($E13,'Returns &amp; Asset Mix assumption'!$D$13:$F$20,5,0)*$K13,0)</f>
        <v>375</v>
      </c>
      <c r="Q13" s="75">
        <f>IFERROR(HLOOKUP($E13,'Returns &amp; Asset Mix assumption'!$D$13:$F$20,6,0)*$K13,0)</f>
        <v>375</v>
      </c>
      <c r="R13" s="75">
        <f>IFERROR(HLOOKUP($E13,'Returns &amp; Asset Mix assumption'!$D$13:$F$20,7,0)*$K13,0)</f>
        <v>375</v>
      </c>
    </row>
    <row r="14" spans="2:18" x14ac:dyDescent="0.25">
      <c r="B14" s="60" t="s">
        <v>137</v>
      </c>
      <c r="C14" s="61">
        <v>4</v>
      </c>
      <c r="D14" s="61">
        <v>1</v>
      </c>
      <c r="E14" s="62" t="str">
        <f t="shared" si="0"/>
        <v>Short Term</v>
      </c>
      <c r="F14" s="69">
        <v>130000</v>
      </c>
      <c r="G14" s="69">
        <v>0</v>
      </c>
      <c r="H14" s="63">
        <v>0.2</v>
      </c>
      <c r="I14" s="71">
        <f>IFERROR(IF(F14=G14," ",F14*(1+H14)^D14-G14*(1+HLOOKUP(E14,'Returns &amp; Asset Mix assumption'!$D$13:$F$20,8,0))^D14),"")</f>
        <v>156000</v>
      </c>
      <c r="J14" s="63">
        <v>0.1</v>
      </c>
      <c r="K14" s="73">
        <v>11000</v>
      </c>
      <c r="L14" s="12"/>
      <c r="M14" s="75">
        <f>IFERROR(HLOOKUP($E14,'Returns &amp; Asset Mix assumption'!$D$13:$F$20,2,0)*$K14,0)</f>
        <v>0</v>
      </c>
      <c r="N14" s="75">
        <f>IFERROR(HLOOKUP($E14,'Returns &amp; Asset Mix assumption'!$D$13:$F$20,3,0)*$K14,0)</f>
        <v>0</v>
      </c>
      <c r="O14" s="75">
        <f>IFERROR(HLOOKUP($E14,'Returns &amp; Asset Mix assumption'!$D$13:$F$20,4,0)*$K14,0)</f>
        <v>11000</v>
      </c>
      <c r="P14" s="75">
        <f>IFERROR(HLOOKUP($E14,'Returns &amp; Asset Mix assumption'!$D$13:$F$20,5,0)*$K14,0)</f>
        <v>0</v>
      </c>
      <c r="Q14" s="75">
        <f>IFERROR(HLOOKUP($E14,'Returns &amp; Asset Mix assumption'!$D$13:$F$20,6,0)*$K14,0)</f>
        <v>0</v>
      </c>
      <c r="R14" s="75">
        <f>IFERROR(HLOOKUP($E14,'Returns &amp; Asset Mix assumption'!$D$13:$F$20,7,0)*$K14,0)</f>
        <v>0</v>
      </c>
    </row>
    <row r="15" spans="2:18" x14ac:dyDescent="0.25">
      <c r="B15" s="60" t="s">
        <v>138</v>
      </c>
      <c r="C15" s="61">
        <v>4</v>
      </c>
      <c r="D15" s="61">
        <v>1</v>
      </c>
      <c r="E15" s="62" t="str">
        <f>IF(ISBLANK(D15)=TRUE,"",IF(D15&lt;3,"Short Term",IF(D15&lt;=6,"Medium Term","Long Term")))</f>
        <v>Short Term</v>
      </c>
      <c r="F15" s="69">
        <v>120000</v>
      </c>
      <c r="G15" s="69">
        <v>0</v>
      </c>
      <c r="H15" s="63">
        <v>0.02</v>
      </c>
      <c r="I15" s="71">
        <f>IFERROR(IF(F15=G15," ",F15*(1+H15)^D15-G15*(1+HLOOKUP(E15,'Returns &amp; Asset Mix assumption'!$D$13:$F$20,8,0))^D15),"")</f>
        <v>122400</v>
      </c>
      <c r="J15" s="64">
        <v>0.05</v>
      </c>
      <c r="K15" s="73">
        <v>6000</v>
      </c>
      <c r="L15" s="12"/>
      <c r="M15" s="75">
        <f>IFERROR(HLOOKUP($E15,'Returns &amp; Asset Mix assumption'!$D$13:$F$20,2,0)*$K15,0)</f>
        <v>0</v>
      </c>
      <c r="N15" s="75">
        <f>IFERROR(HLOOKUP($E15,'Returns &amp; Asset Mix assumption'!$D$13:$F$20,3,0)*$K15,0)</f>
        <v>0</v>
      </c>
      <c r="O15" s="75">
        <f>IFERROR(HLOOKUP($E15,'Returns &amp; Asset Mix assumption'!$D$13:$F$20,4,0)*$K15,0)</f>
        <v>6000</v>
      </c>
      <c r="P15" s="75">
        <f>IFERROR(HLOOKUP($E15,'Returns &amp; Asset Mix assumption'!$D$13:$F$20,5,0)*$K15,0)</f>
        <v>0</v>
      </c>
      <c r="Q15" s="75">
        <f>IFERROR(HLOOKUP($E15,'Returns &amp; Asset Mix assumption'!$D$13:$F$20,6,0)*$K15,0)</f>
        <v>0</v>
      </c>
      <c r="R15" s="75">
        <f>IFERROR(HLOOKUP($E15,'Returns &amp; Asset Mix assumption'!$D$13:$F$20,7,0)*$K15,0)</f>
        <v>0</v>
      </c>
    </row>
    <row r="16" spans="2:18" x14ac:dyDescent="0.25">
      <c r="B16" s="60" t="s">
        <v>147</v>
      </c>
      <c r="C16" s="61">
        <v>2</v>
      </c>
      <c r="D16" s="61">
        <v>1</v>
      </c>
      <c r="E16" s="62" t="str">
        <f t="shared" si="0"/>
        <v>Short Term</v>
      </c>
      <c r="F16" s="69">
        <v>150000</v>
      </c>
      <c r="G16" s="69">
        <v>0</v>
      </c>
      <c r="H16" s="63">
        <v>0.01</v>
      </c>
      <c r="I16" s="71">
        <f>IFERROR(IF(F16=G16," ",F16*(1+H16)^D16-G16*(1+HLOOKUP(E16,'Returns &amp; Asset Mix assumption'!$D$13:$F$20,8,0))^D16),"")</f>
        <v>151500</v>
      </c>
      <c r="J16" s="64">
        <v>0.1</v>
      </c>
      <c r="K16" s="73">
        <v>6500</v>
      </c>
      <c r="L16" s="12"/>
      <c r="M16" s="75">
        <f>IFERROR(HLOOKUP($E16,'Returns &amp; Asset Mix assumption'!$D$13:$F$20,2,0)*$K16,0)</f>
        <v>0</v>
      </c>
      <c r="N16" s="75">
        <f>IFERROR(HLOOKUP($E16,'Returns &amp; Asset Mix assumption'!$D$13:$F$20,3,0)*$K16,0)</f>
        <v>0</v>
      </c>
      <c r="O16" s="75">
        <f>IFERROR(HLOOKUP($E16,'Returns &amp; Asset Mix assumption'!$D$13:$F$20,4,0)*$K16,0)</f>
        <v>6500</v>
      </c>
      <c r="P16" s="75">
        <f>IFERROR(HLOOKUP($E16,'Returns &amp; Asset Mix assumption'!$D$13:$F$20,5,0)*$K16,0)</f>
        <v>0</v>
      </c>
      <c r="Q16" s="75">
        <f>IFERROR(HLOOKUP($E16,'Returns &amp; Asset Mix assumption'!$D$13:$F$20,6,0)*$K16,0)</f>
        <v>0</v>
      </c>
      <c r="R16" s="75">
        <f>IFERROR(HLOOKUP($E16,'Returns &amp; Asset Mix assumption'!$D$13:$F$20,7,0)*$K16,0)</f>
        <v>0</v>
      </c>
    </row>
    <row r="17" spans="2:18" x14ac:dyDescent="0.25">
      <c r="B17" s="60" t="s">
        <v>145</v>
      </c>
      <c r="C17" s="61">
        <v>4</v>
      </c>
      <c r="D17" s="61">
        <v>16</v>
      </c>
      <c r="E17" s="62" t="str">
        <f>IF(ISBLANK(D17)=TRUE,"",IF(D17&lt;3,"Short Term",IF(D17&lt;=6,"Medium Term","Long Term")))</f>
        <v>Long Term</v>
      </c>
      <c r="F17" s="69">
        <v>1500000</v>
      </c>
      <c r="G17" s="69">
        <v>0</v>
      </c>
      <c r="H17" s="63">
        <v>0.1</v>
      </c>
      <c r="I17" s="71">
        <f>IFERROR(IF(F17=G17," ",F17*(1+H17)^D17-G17*(1+HLOOKUP(E17,'Returns &amp; Asset Mix assumption'!$D$13:$F$20,8,0))^D17),"")</f>
        <v>6892459.4795358311</v>
      </c>
      <c r="J17" s="64"/>
      <c r="K17" s="73"/>
      <c r="L17" s="12"/>
      <c r="M17" s="75">
        <f>IFERROR(HLOOKUP($E17,'Returns &amp; Asset Mix assumption'!$D$13:$F$20,2,0)*$K17,0)</f>
        <v>0</v>
      </c>
      <c r="N17" s="75">
        <f>IFERROR(HLOOKUP($E17,'Returns &amp; Asset Mix assumption'!$D$13:$F$20,3,0)*$K17,0)</f>
        <v>0</v>
      </c>
      <c r="O17" s="75">
        <f>IFERROR(HLOOKUP($E17,'Returns &amp; Asset Mix assumption'!$D$13:$F$20,4,0)*$K17,0)</f>
        <v>0</v>
      </c>
      <c r="P17" s="75">
        <f>IFERROR(HLOOKUP($E17,'Returns &amp; Asset Mix assumption'!$D$13:$F$20,5,0)*$K17,0)</f>
        <v>0</v>
      </c>
      <c r="Q17" s="75">
        <f>IFERROR(HLOOKUP($E17,'Returns &amp; Asset Mix assumption'!$D$13:$F$20,6,0)*$K17,0)</f>
        <v>0</v>
      </c>
      <c r="R17" s="75">
        <f>IFERROR(HLOOKUP($E17,'Returns &amp; Asset Mix assumption'!$D$13:$F$20,7,0)*$K17,0)</f>
        <v>0</v>
      </c>
    </row>
    <row r="18" spans="2:18" x14ac:dyDescent="0.25">
      <c r="B18" s="60" t="s">
        <v>146</v>
      </c>
      <c r="C18" s="61">
        <v>6</v>
      </c>
      <c r="D18" s="61">
        <v>25</v>
      </c>
      <c r="E18" s="62" t="str">
        <f>IF(ISBLANK(D18)=TRUE,"",IF(D18&lt;3,"Short Term",IF(D18&lt;=6,"Medium Term","Long Term")))</f>
        <v>Long Term</v>
      </c>
      <c r="F18" s="69">
        <v>2000000</v>
      </c>
      <c r="G18" s="69">
        <v>0</v>
      </c>
      <c r="H18" s="63">
        <v>0.06</v>
      </c>
      <c r="I18" s="71">
        <f>IFERROR(IF(F18=G18," ",F18*(1+H18)^D18-G18*(1+HLOOKUP(E18,'Returns &amp; Asset Mix assumption'!$D$13:$F$20,8,0))^D18),"")</f>
        <v>8583741.4394869767</v>
      </c>
      <c r="J18" s="63"/>
      <c r="K18" s="73"/>
      <c r="L18" s="12"/>
      <c r="M18" s="75">
        <f>IFERROR(HLOOKUP($E18,'Returns &amp; Asset Mix assumption'!$D$13:$F$20,2,0)*$K18,0)</f>
        <v>0</v>
      </c>
      <c r="N18" s="75">
        <f>IFERROR(HLOOKUP($E18,'Returns &amp; Asset Mix assumption'!$D$13:$F$20,3,0)*$K18,0)</f>
        <v>0</v>
      </c>
      <c r="O18" s="75">
        <f>IFERROR(HLOOKUP($E18,'Returns &amp; Asset Mix assumption'!$D$13:$F$20,4,0)*$K18,0)</f>
        <v>0</v>
      </c>
      <c r="P18" s="75">
        <f>IFERROR(HLOOKUP($E18,'Returns &amp; Asset Mix assumption'!$D$13:$F$20,5,0)*$K18,0)</f>
        <v>0</v>
      </c>
      <c r="Q18" s="75">
        <f>IFERROR(HLOOKUP($E18,'Returns &amp; Asset Mix assumption'!$D$13:$F$20,6,0)*$K18,0)</f>
        <v>0</v>
      </c>
      <c r="R18" s="75">
        <f>IFERROR(HLOOKUP($E18,'Returns &amp; Asset Mix assumption'!$D$13:$F$20,7,0)*$K18,0)</f>
        <v>0</v>
      </c>
    </row>
    <row r="19" spans="2:18" x14ac:dyDescent="0.25">
      <c r="B19" s="60" t="s">
        <v>139</v>
      </c>
      <c r="C19" s="61">
        <v>6</v>
      </c>
      <c r="D19" s="61">
        <v>1</v>
      </c>
      <c r="E19" s="62" t="str">
        <f>IF(ISBLANK(D19)=TRUE,"",IF(D19&lt;3,"Short Term",IF(D19&lt;=6,"Medium Term","Long Term")))</f>
        <v>Short Term</v>
      </c>
      <c r="F19" s="69">
        <v>200000</v>
      </c>
      <c r="G19" s="69">
        <v>0</v>
      </c>
      <c r="H19" s="63">
        <v>0.1</v>
      </c>
      <c r="I19" s="71">
        <f>IFERROR(IF(F19=G19," ",F19*(1+H19)^D19-G19*(1+HLOOKUP(E19,'Returns &amp; Asset Mix assumption'!$D$13:$F$20,8,0))^D19),"")</f>
        <v>220000.00000000003</v>
      </c>
      <c r="J19" s="63"/>
      <c r="K19" s="73"/>
      <c r="L19" s="12"/>
      <c r="M19" s="75">
        <f>IFERROR(HLOOKUP($E19,'Returns &amp; Asset Mix assumption'!$D$13:$F$20,2,0)*$K19,0)</f>
        <v>0</v>
      </c>
      <c r="N19" s="75">
        <f>IFERROR(HLOOKUP($E19,'Returns &amp; Asset Mix assumption'!$D$13:$F$20,3,0)*$K19,0)</f>
        <v>0</v>
      </c>
      <c r="O19" s="75">
        <f>IFERROR(HLOOKUP($E19,'Returns &amp; Asset Mix assumption'!$D$13:$F$20,4,0)*$K19,0)</f>
        <v>0</v>
      </c>
      <c r="P19" s="75">
        <f>IFERROR(HLOOKUP($E19,'Returns &amp; Asset Mix assumption'!$D$13:$F$20,5,0)*$K19,0)</f>
        <v>0</v>
      </c>
      <c r="Q19" s="75">
        <f>IFERROR(HLOOKUP($E19,'Returns &amp; Asset Mix assumption'!$D$13:$F$20,6,0)*$K19,0)</f>
        <v>0</v>
      </c>
      <c r="R19" s="75">
        <f>IFERROR(HLOOKUP($E19,'Returns &amp; Asset Mix assumption'!$D$13:$F$20,7,0)*$K19,0)</f>
        <v>0</v>
      </c>
    </row>
    <row r="20" spans="2:18" x14ac:dyDescent="0.25">
      <c r="B20" s="60"/>
      <c r="C20" s="61"/>
      <c r="D20" s="61"/>
      <c r="E20" s="62" t="str">
        <f>IF(ISBLANK(D20)=TRUE,"",IF(D20&lt;3,"Short Term",IF(D20&lt;=6,"Medium Term","Long Term")))</f>
        <v/>
      </c>
      <c r="F20" s="69"/>
      <c r="G20" s="69"/>
      <c r="H20" s="63"/>
      <c r="I20" s="71" t="str">
        <f>IFERROR(IF(F20=G20," ",F20*(1+H20)^D20-G20*(1+HLOOKUP(E20,'Returns &amp; Asset Mix assumption'!$D$13:$F$20,8,0))^D20),"")</f>
        <v xml:space="preserve"> </v>
      </c>
      <c r="J20" s="63"/>
      <c r="K20" s="73"/>
      <c r="L20" s="12"/>
      <c r="M20" s="75">
        <f>IFERROR(HLOOKUP($E20,'Returns &amp; Asset Mix assumption'!$D$13:$F$20,2,0)*$K20,0)</f>
        <v>0</v>
      </c>
      <c r="N20" s="75">
        <f>IFERROR(HLOOKUP($E20,'Returns &amp; Asset Mix assumption'!$D$13:$F$20,3,0)*$K20,0)</f>
        <v>0</v>
      </c>
      <c r="O20" s="75">
        <f>IFERROR(HLOOKUP($E20,'Returns &amp; Asset Mix assumption'!$D$13:$F$20,4,0)*$K20,0)</f>
        <v>0</v>
      </c>
      <c r="P20" s="75">
        <f>IFERROR(HLOOKUP($E20,'Returns &amp; Asset Mix assumption'!$D$13:$F$20,5,0)*$K20,0)</f>
        <v>0</v>
      </c>
      <c r="Q20" s="75">
        <f>IFERROR(HLOOKUP($E20,'Returns &amp; Asset Mix assumption'!$D$13:$F$20,6,0)*$K20,0)</f>
        <v>0</v>
      </c>
      <c r="R20" s="75">
        <f>IFERROR(HLOOKUP($E20,'Returns &amp; Asset Mix assumption'!$D$13:$F$20,7,0)*$K20,0)</f>
        <v>0</v>
      </c>
    </row>
    <row r="21" spans="2:18" x14ac:dyDescent="0.25">
      <c r="B21" s="60"/>
      <c r="C21" s="61"/>
      <c r="D21" s="61"/>
      <c r="E21" s="62" t="str">
        <f>IF(ISBLANK(D21)=TRUE,"",IF(D21&lt;3,"Short Term",IF(D21&lt;=6,"Medium Term","Long Term")))</f>
        <v/>
      </c>
      <c r="F21" s="69"/>
      <c r="G21" s="69"/>
      <c r="H21" s="63"/>
      <c r="I21" s="71" t="str">
        <f>IFERROR(IF(F21=G21," ",F21*(1+H21)^D21-G21*(1+HLOOKUP(E21,'Returns &amp; Asset Mix assumption'!$D$13:$F$20,8,0))^D21),"")</f>
        <v xml:space="preserve"> </v>
      </c>
      <c r="J21" s="61"/>
      <c r="K21" s="73"/>
      <c r="L21" s="12"/>
      <c r="M21" s="75">
        <f>IFERROR(HLOOKUP($E21,'Returns &amp; Asset Mix assumption'!$D$13:$F$20,2,0)*$K21,0)</f>
        <v>0</v>
      </c>
      <c r="N21" s="75">
        <f>IFERROR(HLOOKUP($E21,'Returns &amp; Asset Mix assumption'!$D$13:$F$20,3,0)*$K21,0)</f>
        <v>0</v>
      </c>
      <c r="O21" s="75">
        <f>IFERROR(HLOOKUP($E21,'Returns &amp; Asset Mix assumption'!$D$13:$F$20,4,0)*$K21,0)</f>
        <v>0</v>
      </c>
      <c r="P21" s="75">
        <f>IFERROR(HLOOKUP($E21,'Returns &amp; Asset Mix assumption'!$D$13:$F$20,5,0)*$K21,0)</f>
        <v>0</v>
      </c>
      <c r="Q21" s="75">
        <f>IFERROR(HLOOKUP($E21,'Returns &amp; Asset Mix assumption'!$D$13:$F$20,6,0)*$K21,0)</f>
        <v>0</v>
      </c>
      <c r="R21" s="75">
        <f>IFERROR(HLOOKUP($E21,'Returns &amp; Asset Mix assumption'!$D$13:$F$20,7,0)*$K21,0)</f>
        <v>0</v>
      </c>
    </row>
    <row r="22" spans="2:18" x14ac:dyDescent="0.25">
      <c r="B22" s="60"/>
      <c r="C22" s="61"/>
      <c r="D22" s="61"/>
      <c r="E22" s="62" t="str">
        <f t="shared" si="0"/>
        <v/>
      </c>
      <c r="F22" s="69"/>
      <c r="G22" s="69"/>
      <c r="H22" s="63"/>
      <c r="I22" s="71" t="str">
        <f>IFERROR(IF(F22=G22," ",F22*(1+H22)^D22-G22*(1+HLOOKUP(E22,'Returns &amp; Asset Mix assumption'!$D$13:$F$20,8,0))^D22),"")</f>
        <v xml:space="preserve"> </v>
      </c>
      <c r="J22" s="61"/>
      <c r="K22" s="73"/>
      <c r="L22" s="12"/>
      <c r="M22" s="75">
        <f>IFERROR(HLOOKUP($E22,'Returns &amp; Asset Mix assumption'!$D$13:$F$20,2,0)*$K22,0)</f>
        <v>0</v>
      </c>
      <c r="N22" s="75">
        <f>IFERROR(HLOOKUP($E22,'Returns &amp; Asset Mix assumption'!$D$13:$F$20,3,0)*$K22,0)</f>
        <v>0</v>
      </c>
      <c r="O22" s="75">
        <f>IFERROR(HLOOKUP($E22,'Returns &amp; Asset Mix assumption'!$D$13:$F$20,4,0)*$K22,0)</f>
        <v>0</v>
      </c>
      <c r="P22" s="75">
        <f>IFERROR(HLOOKUP($E22,'Returns &amp; Asset Mix assumption'!$D$13:$F$20,5,0)*$K22,0)</f>
        <v>0</v>
      </c>
      <c r="Q22" s="75">
        <f>IFERROR(HLOOKUP($E22,'Returns &amp; Asset Mix assumption'!$D$13:$F$20,6,0)*$K22,0)</f>
        <v>0</v>
      </c>
      <c r="R22" s="75">
        <f>IFERROR(HLOOKUP($E22,'Returns &amp; Asset Mix assumption'!$D$13:$F$20,7,0)*$K22,0)</f>
        <v>0</v>
      </c>
    </row>
    <row r="23" spans="2:18" x14ac:dyDescent="0.25">
      <c r="B23" s="60"/>
      <c r="C23" s="61"/>
      <c r="D23" s="61"/>
      <c r="E23" s="62" t="str">
        <f t="shared" si="0"/>
        <v/>
      </c>
      <c r="F23" s="69"/>
      <c r="G23" s="69"/>
      <c r="H23" s="63"/>
      <c r="I23" s="71" t="str">
        <f>IFERROR(IF(F23=G23," ",F23*(1+H23)^D23-G23*(1+HLOOKUP(E23,'Returns &amp; Asset Mix assumption'!$D$13:$F$20,8,0))^D23),"")</f>
        <v xml:space="preserve"> </v>
      </c>
      <c r="J23" s="61"/>
      <c r="K23" s="73"/>
      <c r="L23" s="12"/>
      <c r="M23" s="75">
        <f>IFERROR(HLOOKUP($E23,'Returns &amp; Asset Mix assumption'!$D$13:$F$20,2,0)*$K23,0)</f>
        <v>0</v>
      </c>
      <c r="N23" s="75">
        <f>IFERROR(HLOOKUP($E23,'Returns &amp; Asset Mix assumption'!$D$13:$F$20,3,0)*$K23,0)</f>
        <v>0</v>
      </c>
      <c r="O23" s="75">
        <f>IFERROR(HLOOKUP($E23,'Returns &amp; Asset Mix assumption'!$D$13:$F$20,4,0)*$K23,0)</f>
        <v>0</v>
      </c>
      <c r="P23" s="75">
        <f>IFERROR(HLOOKUP($E23,'Returns &amp; Asset Mix assumption'!$D$13:$F$20,5,0)*$K23,0)</f>
        <v>0</v>
      </c>
      <c r="Q23" s="75">
        <f>IFERROR(HLOOKUP($E23,'Returns &amp; Asset Mix assumption'!$D$13:$F$20,6,0)*$K23,0)</f>
        <v>0</v>
      </c>
      <c r="R23" s="75">
        <f>IFERROR(HLOOKUP($E23,'Returns &amp; Asset Mix assumption'!$D$13:$F$20,7,0)*$K23,0)</f>
        <v>0</v>
      </c>
    </row>
    <row r="24" spans="2:18" x14ac:dyDescent="0.25">
      <c r="B24" s="60"/>
      <c r="C24" s="61"/>
      <c r="D24" s="61"/>
      <c r="E24" s="62" t="str">
        <f t="shared" si="0"/>
        <v/>
      </c>
      <c r="F24" s="69"/>
      <c r="G24" s="69"/>
      <c r="H24" s="63"/>
      <c r="I24" s="71" t="str">
        <f>IFERROR(IF(F24=G24," ",F24*(1+H24)^D24-G24*(1+HLOOKUP(E24,'Returns &amp; Asset Mix assumption'!$D$13:$F$20,8,0))^D24),"")</f>
        <v xml:space="preserve"> </v>
      </c>
      <c r="J24" s="61"/>
      <c r="K24" s="73"/>
      <c r="L24" s="12"/>
      <c r="M24" s="75">
        <f>IFERROR(HLOOKUP($E24,'Returns &amp; Asset Mix assumption'!$D$13:$F$20,2,0)*$K24,0)</f>
        <v>0</v>
      </c>
      <c r="N24" s="75">
        <f>IFERROR(HLOOKUP($E24,'Returns &amp; Asset Mix assumption'!$D$13:$F$20,3,0)*$K24,0)</f>
        <v>0</v>
      </c>
      <c r="O24" s="75">
        <f>IFERROR(HLOOKUP($E24,'Returns &amp; Asset Mix assumption'!$D$13:$F$20,4,0)*$K24,0)</f>
        <v>0</v>
      </c>
      <c r="P24" s="75">
        <f>IFERROR(HLOOKUP($E24,'Returns &amp; Asset Mix assumption'!$D$13:$F$20,5,0)*$K24,0)</f>
        <v>0</v>
      </c>
      <c r="Q24" s="75">
        <f>IFERROR(HLOOKUP($E24,'Returns &amp; Asset Mix assumption'!$D$13:$F$20,6,0)*$K24,0)</f>
        <v>0</v>
      </c>
      <c r="R24" s="75">
        <f>IFERROR(HLOOKUP($E24,'Returns &amp; Asset Mix assumption'!$D$13:$F$20,7,0)*$K24,0)</f>
        <v>0</v>
      </c>
    </row>
    <row r="25" spans="2:18" x14ac:dyDescent="0.25">
      <c r="B25" s="65"/>
      <c r="C25" s="66"/>
      <c r="D25" s="66"/>
      <c r="E25" s="67" t="str">
        <f t="shared" si="0"/>
        <v/>
      </c>
      <c r="F25" s="70"/>
      <c r="G25" s="70"/>
      <c r="H25" s="68"/>
      <c r="I25" s="72" t="str">
        <f>IFERROR(IF(F25=G25," ",F25*(1+H25)^D25-G25*(1+HLOOKUP(E25,'Returns &amp; Asset Mix assumption'!$D$13:$F$20,8,0))^D25),"")</f>
        <v xml:space="preserve"> </v>
      </c>
      <c r="J25" s="66"/>
      <c r="K25" s="74"/>
      <c r="L25" s="12"/>
      <c r="M25" s="75">
        <f>IFERROR(HLOOKUP($E25,'Returns &amp; Asset Mix assumption'!$D$13:$F$20,2,0)*$K25,0)</f>
        <v>0</v>
      </c>
      <c r="N25" s="75">
        <f>IFERROR(HLOOKUP($E25,'Returns &amp; Asset Mix assumption'!$D$13:$F$20,3,0)*$K25,0)</f>
        <v>0</v>
      </c>
      <c r="O25" s="75">
        <f>IFERROR(HLOOKUP($E25,'Returns &amp; Asset Mix assumption'!$D$13:$F$20,4,0)*$K25,0)</f>
        <v>0</v>
      </c>
      <c r="P25" s="75">
        <f>IFERROR(HLOOKUP($E25,'Returns &amp; Asset Mix assumption'!$D$13:$F$20,5,0)*$K25,0)</f>
        <v>0</v>
      </c>
      <c r="Q25" s="75">
        <f>IFERROR(HLOOKUP($E25,'Returns &amp; Asset Mix assumption'!$D$13:$F$20,6,0)*$K25,0)</f>
        <v>0</v>
      </c>
      <c r="R25" s="75">
        <f>IFERROR(HLOOKUP($E25,'Returns &amp; Asset Mix assumption'!$D$13:$F$20,7,0)*$K25,0)</f>
        <v>0</v>
      </c>
    </row>
    <row r="26" spans="2:18" s="9" customFormat="1" x14ac:dyDescent="0.25">
      <c r="F26" s="12"/>
      <c r="G26" s="12"/>
      <c r="H26" s="13"/>
      <c r="I26" s="12"/>
      <c r="K26" s="12"/>
      <c r="L26" s="12"/>
      <c r="M26" s="14"/>
    </row>
    <row r="27" spans="2:18" x14ac:dyDescent="0.25">
      <c r="F27" s="85" t="s">
        <v>25</v>
      </c>
      <c r="G27" s="81">
        <f>SUM(G11:G25)</f>
        <v>542371</v>
      </c>
      <c r="I27" s="15"/>
      <c r="J27" s="80" t="s">
        <v>25</v>
      </c>
      <c r="K27" s="81">
        <f>SUM(K11:K25)</f>
        <v>45000</v>
      </c>
      <c r="L27" s="16"/>
      <c r="M27" s="77">
        <f>SUM(M11:M25)</f>
        <v>4500</v>
      </c>
      <c r="N27" s="78">
        <f t="shared" ref="N27:R27" si="1">SUM(N11:N25)</f>
        <v>750</v>
      </c>
      <c r="O27" s="78">
        <f t="shared" si="1"/>
        <v>38625</v>
      </c>
      <c r="P27" s="78">
        <f t="shared" si="1"/>
        <v>375</v>
      </c>
      <c r="Q27" s="78">
        <f t="shared" si="1"/>
        <v>375</v>
      </c>
      <c r="R27" s="79">
        <f t="shared" si="1"/>
        <v>375</v>
      </c>
    </row>
    <row r="28" spans="2:18" x14ac:dyDescent="0.25">
      <c r="F28" s="86" t="s">
        <v>62</v>
      </c>
      <c r="G28" s="87">
        <f>'Net worth'!C33+SUM('Net worth'!C18:C20)+'Net worth'!C16</f>
        <v>3645230</v>
      </c>
      <c r="H28" s="9"/>
      <c r="I28" s="17"/>
      <c r="J28" s="25" t="s">
        <v>62</v>
      </c>
      <c r="K28" s="82">
        <f>'Cash flows'!C27</f>
        <v>17500</v>
      </c>
      <c r="L28" s="16"/>
      <c r="M28" s="18">
        <f>M27/SUM($M$27:$R$27)</f>
        <v>0.1</v>
      </c>
      <c r="N28" s="18">
        <f t="shared" ref="N28:R28" si="2">N27/SUM($M$27:$R$27)</f>
        <v>1.6666666666666666E-2</v>
      </c>
      <c r="O28" s="18">
        <f t="shared" si="2"/>
        <v>0.85833333333333328</v>
      </c>
      <c r="P28" s="18">
        <f t="shared" si="2"/>
        <v>8.3333333333333332E-3</v>
      </c>
      <c r="Q28" s="18">
        <f t="shared" si="2"/>
        <v>8.3333333333333332E-3</v>
      </c>
      <c r="R28" s="18">
        <f t="shared" si="2"/>
        <v>8.3333333333333332E-3</v>
      </c>
    </row>
    <row r="29" spans="2:18" x14ac:dyDescent="0.25">
      <c r="F29" s="88" t="s">
        <v>98</v>
      </c>
      <c r="G29" s="89">
        <f>G28-G27</f>
        <v>3102859</v>
      </c>
      <c r="H29" s="9"/>
      <c r="I29" s="17"/>
      <c r="J29" s="83" t="s">
        <v>98</v>
      </c>
      <c r="K29" s="84">
        <f>K28-K27</f>
        <v>-27500</v>
      </c>
      <c r="L29" s="16"/>
    </row>
    <row r="30" spans="2:18" x14ac:dyDescent="0.25">
      <c r="G30" s="76" t="str">
        <f>IF(G27&gt;G28,"You don't have enough money","")</f>
        <v/>
      </c>
      <c r="K30" s="76" t="str">
        <f>IF(K27&gt;'Cash flows'!C27,"You don't have enough money","")</f>
        <v>You don't have enough money</v>
      </c>
    </row>
  </sheetData>
  <sheetProtection algorithmName="SHA-512" hashValue="yQHKahFhuR+vtAzEu6ROY8BTWB5aygaoWuNhbnMp6BBvVuqYmhPHb3dxOYhfn3SzSUdIz2ClOcor/cXsjTrtsg==" saltValue="U0VJ4BMurZJzDHGFKzO/tw==" spinCount="100000" sheet="1" objects="1" scenarios="1"/>
  <autoFilter ref="B10:K25" xr:uid="{ACB0ACAC-00D1-A141-A5F0-DB4F5570E3F2}">
    <sortState xmlns:xlrd2="http://schemas.microsoft.com/office/spreadsheetml/2017/richdata2" ref="B11:K25">
      <sortCondition ref="C10:C25"/>
    </sortState>
  </autoFilter>
  <sortState xmlns:xlrd2="http://schemas.microsoft.com/office/spreadsheetml/2017/richdata2" ref="B11:K20">
    <sortCondition ref="C11:C20"/>
  </sortState>
  <mergeCells count="2">
    <mergeCell ref="M8:R8"/>
    <mergeCell ref="D6:F7"/>
  </mergeCells>
  <conditionalFormatting sqref="G30">
    <cfRule type="notContainsBlanks" dxfId="1" priority="2">
      <formula>LEN(TRIM(G30))&gt;0</formula>
    </cfRule>
  </conditionalFormatting>
  <conditionalFormatting sqref="K30">
    <cfRule type="notContainsBlanks" dxfId="0" priority="1">
      <formula>LEN(TRIM(K30))&gt;0</formula>
    </cfRule>
  </conditionalFormatting>
  <pageMargins left="0.7" right="0.7" top="0.75" bottom="0.75" header="0.3" footer="0.3"/>
  <pageSetup paperSize="9" orientation="portrait" r:id="rId1"/>
  <ignoredErrors>
    <ignoredError sqref="M27:R27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Returns &amp; Asset Mix assumption</vt:lpstr>
      <vt:lpstr>Cash flows</vt:lpstr>
      <vt:lpstr>Net worth</vt:lpstr>
      <vt:lpstr>Real estate &amp; REIT</vt:lpstr>
      <vt:lpstr>Domestic Equity</vt:lpstr>
      <vt:lpstr>US equity</vt:lpstr>
      <vt:lpstr>Debt</vt:lpstr>
      <vt:lpstr>Gold</vt:lpstr>
      <vt:lpstr>Crypto</vt:lpstr>
      <vt:lpstr>Miscellaneous</vt:lpstr>
      <vt:lpstr>Financial Goals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 Hegde</dc:creator>
  <cp:lastModifiedBy>Vishvesh Ujawane</cp:lastModifiedBy>
  <dcterms:created xsi:type="dcterms:W3CDTF">2022-05-04T10:49:09Z</dcterms:created>
  <dcterms:modified xsi:type="dcterms:W3CDTF">2026-05-26T04:28:06Z</dcterms:modified>
</cp:coreProperties>
</file>